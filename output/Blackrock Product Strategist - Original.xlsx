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il Vohra\Downloads\"/>
    </mc:Choice>
  </mc:AlternateContent>
  <xr:revisionPtr revIDLastSave="0" documentId="13_ncr:1_{2633E528-B216-410C-AEEA-44C70CCEDDF6}" xr6:coauthVersionLast="47" xr6:coauthVersionMax="47" xr10:uidLastSave="{00000000-0000-0000-0000-000000000000}"/>
  <bookViews>
    <workbookView xWindow="-110" yWindow="-110" windowWidth="19420" windowHeight="11500" firstSheet="4" activeTab="6" xr2:uid="{E334A010-B8FA-49DE-B643-732CC4BF3CE4}"/>
  </bookViews>
  <sheets>
    <sheet name="Raw_Returns" sheetId="2" state="hidden" r:id="rId1"/>
    <sheet name="Raw_Weights" sheetId="3" state="hidden" r:id="rId2"/>
    <sheet name="Raw_AUM" sheetId="4" state="hidden" r:id="rId3"/>
    <sheet name="Summary" sheetId="5" r:id="rId4"/>
    <sheet name="Sector Attribution" sheetId="6" r:id="rId5"/>
    <sheet name="Monthly Detail" sheetId="7" r:id="rId6"/>
    <sheet name="AUM &amp; Flow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8" l="1"/>
  <c r="K16" i="8"/>
  <c r="K15" i="8"/>
  <c r="K14" i="8"/>
  <c r="K13" i="8"/>
  <c r="K12" i="8"/>
  <c r="K11" i="8"/>
  <c r="K10" i="8"/>
  <c r="K9" i="8"/>
  <c r="K8" i="8"/>
  <c r="K7" i="8"/>
  <c r="K6" i="8"/>
  <c r="T12" i="6"/>
  <c r="T11" i="6"/>
  <c r="T10" i="6"/>
  <c r="T9" i="6"/>
  <c r="T8" i="6"/>
  <c r="T7" i="6"/>
  <c r="T6" i="6"/>
  <c r="T5" i="6"/>
  <c r="T4" i="6"/>
  <c r="T3" i="6"/>
  <c r="T2" i="6"/>
  <c r="H18" i="8"/>
  <c r="F18" i="8"/>
  <c r="D18" i="8"/>
  <c r="H17" i="8"/>
  <c r="G17" i="8"/>
  <c r="F17" i="8"/>
  <c r="E17" i="8"/>
  <c r="D17" i="8"/>
  <c r="C17" i="8"/>
  <c r="B17" i="8"/>
  <c r="H16" i="8"/>
  <c r="G16" i="8"/>
  <c r="F16" i="8"/>
  <c r="E16" i="8"/>
  <c r="D16" i="8"/>
  <c r="C16" i="8"/>
  <c r="B16" i="8"/>
  <c r="H15" i="8"/>
  <c r="G15" i="8"/>
  <c r="F15" i="8"/>
  <c r="E15" i="8"/>
  <c r="D15" i="8"/>
  <c r="C15" i="8"/>
  <c r="B15" i="8"/>
  <c r="H14" i="8"/>
  <c r="G14" i="8"/>
  <c r="F14" i="8"/>
  <c r="E14" i="8"/>
  <c r="D14" i="8"/>
  <c r="C14" i="8"/>
  <c r="B14" i="8"/>
  <c r="H13" i="8"/>
  <c r="G13" i="8"/>
  <c r="F13" i="8"/>
  <c r="E13" i="8"/>
  <c r="D13" i="8"/>
  <c r="C13" i="8"/>
  <c r="B13" i="8"/>
  <c r="H12" i="8"/>
  <c r="G12" i="8"/>
  <c r="F12" i="8"/>
  <c r="E12" i="8"/>
  <c r="D12" i="8"/>
  <c r="C12" i="8"/>
  <c r="B12" i="8"/>
  <c r="H11" i="8"/>
  <c r="G11" i="8"/>
  <c r="F11" i="8"/>
  <c r="E11" i="8"/>
  <c r="D11" i="8"/>
  <c r="C11" i="8"/>
  <c r="B11" i="8"/>
  <c r="H10" i="8"/>
  <c r="G10" i="8"/>
  <c r="F10" i="8"/>
  <c r="E10" i="8"/>
  <c r="D10" i="8"/>
  <c r="C10" i="8"/>
  <c r="B10" i="8"/>
  <c r="H9" i="8"/>
  <c r="G9" i="8"/>
  <c r="F9" i="8"/>
  <c r="E9" i="8"/>
  <c r="D9" i="8"/>
  <c r="C9" i="8"/>
  <c r="B9" i="8"/>
  <c r="H8" i="8"/>
  <c r="G8" i="8"/>
  <c r="F8" i="8"/>
  <c r="E8" i="8"/>
  <c r="D8" i="8"/>
  <c r="C8" i="8"/>
  <c r="B8" i="8"/>
  <c r="H7" i="8"/>
  <c r="G7" i="8"/>
  <c r="F7" i="8"/>
  <c r="E7" i="8"/>
  <c r="D7" i="8"/>
  <c r="C7" i="8"/>
  <c r="B7" i="8"/>
  <c r="H6" i="8"/>
  <c r="G6" i="8"/>
  <c r="F6" i="8"/>
  <c r="E6" i="8"/>
  <c r="D6" i="8"/>
  <c r="C6" i="8"/>
  <c r="B6" i="8"/>
  <c r="D16" i="6"/>
  <c r="C16" i="6"/>
  <c r="E16" i="6" s="1"/>
  <c r="D15" i="6"/>
  <c r="C15" i="6"/>
  <c r="E15" i="6" s="1"/>
  <c r="D14" i="6"/>
  <c r="C14" i="6"/>
  <c r="E14" i="6" s="1"/>
  <c r="D13" i="6"/>
  <c r="C13" i="6"/>
  <c r="E13" i="6" s="1"/>
  <c r="D12" i="6"/>
  <c r="C12" i="6"/>
  <c r="E12" i="6" s="1"/>
  <c r="D11" i="6"/>
  <c r="C11" i="6"/>
  <c r="E11" i="6" s="1"/>
  <c r="D10" i="6"/>
  <c r="C10" i="6"/>
  <c r="E10" i="6" s="1"/>
  <c r="D9" i="6"/>
  <c r="C9" i="6"/>
  <c r="E9" i="6" s="1"/>
  <c r="D8" i="6"/>
  <c r="C8" i="6"/>
  <c r="E8" i="6" s="1"/>
  <c r="D7" i="6"/>
  <c r="C7" i="6"/>
  <c r="E7" i="6" s="1"/>
  <c r="D6" i="6"/>
  <c r="C6" i="6"/>
  <c r="E6" i="6" s="1"/>
  <c r="N182" i="6" a="1"/>
  <c r="N182" i="6" s="1"/>
  <c r="M182" i="6"/>
  <c r="L182" i="6"/>
  <c r="P182" i="6" s="1"/>
  <c r="K182" i="6"/>
  <c r="J182" i="6"/>
  <c r="N181" i="6" a="1"/>
  <c r="N181" i="6" s="1"/>
  <c r="M181" i="6"/>
  <c r="L181" i="6"/>
  <c r="P181" i="6" s="1"/>
  <c r="K181" i="6"/>
  <c r="J181" i="6"/>
  <c r="N180" i="6" a="1"/>
  <c r="N180" i="6" s="1"/>
  <c r="M180" i="6"/>
  <c r="L180" i="6"/>
  <c r="P180" i="6" s="1"/>
  <c r="K180" i="6"/>
  <c r="J180" i="6"/>
  <c r="N179" i="6" a="1"/>
  <c r="N179" i="6" s="1"/>
  <c r="M179" i="6"/>
  <c r="L179" i="6"/>
  <c r="P179" i="6" s="1"/>
  <c r="K179" i="6"/>
  <c r="J179" i="6"/>
  <c r="N178" i="6" a="1"/>
  <c r="N178" i="6" s="1"/>
  <c r="M178" i="6"/>
  <c r="L178" i="6"/>
  <c r="P178" i="6" s="1"/>
  <c r="K178" i="6"/>
  <c r="J178" i="6"/>
  <c r="N177" i="6" a="1"/>
  <c r="N177" i="6" s="1"/>
  <c r="M177" i="6"/>
  <c r="L177" i="6"/>
  <c r="P177" i="6" s="1"/>
  <c r="K177" i="6"/>
  <c r="J177" i="6"/>
  <c r="N176" i="6" a="1"/>
  <c r="N176" i="6" s="1"/>
  <c r="M176" i="6"/>
  <c r="L176" i="6"/>
  <c r="P176" i="6" s="1"/>
  <c r="K176" i="6"/>
  <c r="J176" i="6"/>
  <c r="N175" i="6" a="1"/>
  <c r="N175" i="6" s="1"/>
  <c r="M175" i="6"/>
  <c r="L175" i="6"/>
  <c r="P175" i="6" s="1"/>
  <c r="K175" i="6"/>
  <c r="J175" i="6"/>
  <c r="N174" i="6" a="1"/>
  <c r="N174" i="6" s="1"/>
  <c r="M174" i="6"/>
  <c r="L174" i="6"/>
  <c r="P174" i="6" s="1"/>
  <c r="K174" i="6"/>
  <c r="J174" i="6"/>
  <c r="N173" i="6" a="1"/>
  <c r="N173" i="6" s="1"/>
  <c r="M173" i="6"/>
  <c r="L173" i="6"/>
  <c r="P173" i="6" s="1"/>
  <c r="K173" i="6"/>
  <c r="J173" i="6"/>
  <c r="N172" i="6" a="1"/>
  <c r="N172" i="6" s="1"/>
  <c r="M172" i="6"/>
  <c r="L172" i="6"/>
  <c r="P172" i="6" s="1"/>
  <c r="K172" i="6"/>
  <c r="J172" i="6"/>
  <c r="N168" i="6" a="1"/>
  <c r="N168" i="6" s="1"/>
  <c r="M168" i="6"/>
  <c r="L168" i="6"/>
  <c r="P168" i="6" s="1"/>
  <c r="K168" i="6"/>
  <c r="J168" i="6"/>
  <c r="N167" i="6" a="1"/>
  <c r="N167" i="6" s="1"/>
  <c r="M167" i="6"/>
  <c r="L167" i="6"/>
  <c r="P167" i="6" s="1"/>
  <c r="K167" i="6"/>
  <c r="J167" i="6"/>
  <c r="N166" i="6" a="1"/>
  <c r="N166" i="6" s="1"/>
  <c r="M166" i="6"/>
  <c r="L166" i="6"/>
  <c r="P166" i="6" s="1"/>
  <c r="K166" i="6"/>
  <c r="J166" i="6"/>
  <c r="N165" i="6" a="1"/>
  <c r="N165" i="6" s="1"/>
  <c r="M165" i="6"/>
  <c r="L165" i="6"/>
  <c r="P165" i="6" s="1"/>
  <c r="K165" i="6"/>
  <c r="J165" i="6"/>
  <c r="N164" i="6" a="1"/>
  <c r="N164" i="6" s="1"/>
  <c r="M164" i="6"/>
  <c r="L164" i="6"/>
  <c r="P164" i="6" s="1"/>
  <c r="K164" i="6"/>
  <c r="J164" i="6"/>
  <c r="N163" i="6" a="1"/>
  <c r="N163" i="6" s="1"/>
  <c r="M163" i="6"/>
  <c r="L163" i="6"/>
  <c r="P163" i="6" s="1"/>
  <c r="K163" i="6"/>
  <c r="J163" i="6"/>
  <c r="N162" i="6" a="1"/>
  <c r="N162" i="6" s="1"/>
  <c r="M162" i="6"/>
  <c r="L162" i="6"/>
  <c r="P162" i="6" s="1"/>
  <c r="K162" i="6"/>
  <c r="J162" i="6"/>
  <c r="N161" i="6" a="1"/>
  <c r="N161" i="6" s="1"/>
  <c r="M161" i="6"/>
  <c r="L161" i="6"/>
  <c r="P161" i="6" s="1"/>
  <c r="K161" i="6"/>
  <c r="J161" i="6"/>
  <c r="N160" i="6" a="1"/>
  <c r="N160" i="6" s="1"/>
  <c r="M160" i="6"/>
  <c r="L160" i="6"/>
  <c r="P160" i="6" s="1"/>
  <c r="K160" i="6"/>
  <c r="J160" i="6"/>
  <c r="N159" i="6" a="1"/>
  <c r="N159" i="6" s="1"/>
  <c r="M159" i="6"/>
  <c r="L159" i="6"/>
  <c r="P159" i="6" s="1"/>
  <c r="K159" i="6"/>
  <c r="J159" i="6"/>
  <c r="N158" i="6" a="1"/>
  <c r="N158" i="6" s="1"/>
  <c r="M158" i="6"/>
  <c r="L158" i="6"/>
  <c r="P158" i="6" s="1"/>
  <c r="K158" i="6"/>
  <c r="J158" i="6"/>
  <c r="N154" i="6" a="1"/>
  <c r="N154" i="6" s="1"/>
  <c r="M154" i="6"/>
  <c r="L154" i="6"/>
  <c r="P154" i="6" s="1"/>
  <c r="K154" i="6"/>
  <c r="J154" i="6"/>
  <c r="N153" i="6" a="1"/>
  <c r="N153" i="6" s="1"/>
  <c r="M153" i="6"/>
  <c r="L153" i="6"/>
  <c r="P153" i="6" s="1"/>
  <c r="K153" i="6"/>
  <c r="J153" i="6"/>
  <c r="N152" i="6" a="1"/>
  <c r="N152" i="6" s="1"/>
  <c r="M152" i="6"/>
  <c r="L152" i="6"/>
  <c r="P152" i="6" s="1"/>
  <c r="K152" i="6"/>
  <c r="J152" i="6"/>
  <c r="N151" i="6" a="1"/>
  <c r="N151" i="6" s="1"/>
  <c r="M151" i="6"/>
  <c r="L151" i="6"/>
  <c r="P151" i="6" s="1"/>
  <c r="K151" i="6"/>
  <c r="J151" i="6"/>
  <c r="N150" i="6" a="1"/>
  <c r="N150" i="6" s="1"/>
  <c r="M150" i="6"/>
  <c r="L150" i="6"/>
  <c r="P150" i="6" s="1"/>
  <c r="K150" i="6"/>
  <c r="J150" i="6"/>
  <c r="N149" i="6" a="1"/>
  <c r="N149" i="6" s="1"/>
  <c r="M149" i="6"/>
  <c r="L149" i="6"/>
  <c r="P149" i="6" s="1"/>
  <c r="K149" i="6"/>
  <c r="J149" i="6"/>
  <c r="N148" i="6" a="1"/>
  <c r="N148" i="6" s="1"/>
  <c r="M148" i="6"/>
  <c r="L148" i="6"/>
  <c r="P148" i="6" s="1"/>
  <c r="K148" i="6"/>
  <c r="J148" i="6"/>
  <c r="N147" i="6" a="1"/>
  <c r="N147" i="6" s="1"/>
  <c r="M147" i="6"/>
  <c r="L147" i="6"/>
  <c r="P147" i="6" s="1"/>
  <c r="K147" i="6"/>
  <c r="J147" i="6"/>
  <c r="N146" i="6" a="1"/>
  <c r="N146" i="6" s="1"/>
  <c r="M146" i="6"/>
  <c r="L146" i="6"/>
  <c r="P146" i="6" s="1"/>
  <c r="K146" i="6"/>
  <c r="J146" i="6"/>
  <c r="N145" i="6" a="1"/>
  <c r="N145" i="6" s="1"/>
  <c r="M145" i="6"/>
  <c r="L145" i="6"/>
  <c r="P145" i="6" s="1"/>
  <c r="K145" i="6"/>
  <c r="J145" i="6"/>
  <c r="N144" i="6" a="1"/>
  <c r="N144" i="6" s="1"/>
  <c r="M144" i="6"/>
  <c r="L144" i="6"/>
  <c r="P144" i="6" s="1"/>
  <c r="K144" i="6"/>
  <c r="J144" i="6"/>
  <c r="N140" i="6" a="1"/>
  <c r="N140" i="6" s="1"/>
  <c r="M140" i="6"/>
  <c r="L140" i="6"/>
  <c r="P140" i="6" s="1"/>
  <c r="K140" i="6"/>
  <c r="J140" i="6"/>
  <c r="N139" i="6" a="1"/>
  <c r="N139" i="6" s="1"/>
  <c r="M139" i="6"/>
  <c r="L139" i="6"/>
  <c r="P139" i="6" s="1"/>
  <c r="K139" i="6"/>
  <c r="J139" i="6"/>
  <c r="N138" i="6" a="1"/>
  <c r="N138" i="6" s="1"/>
  <c r="M138" i="6"/>
  <c r="L138" i="6"/>
  <c r="P138" i="6" s="1"/>
  <c r="K138" i="6"/>
  <c r="J138" i="6"/>
  <c r="N137" i="6" a="1"/>
  <c r="N137" i="6" s="1"/>
  <c r="M137" i="6"/>
  <c r="L137" i="6"/>
  <c r="P137" i="6" s="1"/>
  <c r="K137" i="6"/>
  <c r="J137" i="6"/>
  <c r="N136" i="6" a="1"/>
  <c r="N136" i="6" s="1"/>
  <c r="M136" i="6"/>
  <c r="L136" i="6"/>
  <c r="P136" i="6" s="1"/>
  <c r="K136" i="6"/>
  <c r="J136" i="6"/>
  <c r="N135" i="6" a="1"/>
  <c r="N135" i="6" s="1"/>
  <c r="M135" i="6"/>
  <c r="L135" i="6"/>
  <c r="P135" i="6" s="1"/>
  <c r="K135" i="6"/>
  <c r="J135" i="6"/>
  <c r="N134" i="6" a="1"/>
  <c r="N134" i="6" s="1"/>
  <c r="M134" i="6"/>
  <c r="L134" i="6"/>
  <c r="P134" i="6" s="1"/>
  <c r="K134" i="6"/>
  <c r="J134" i="6"/>
  <c r="N133" i="6" a="1"/>
  <c r="N133" i="6" s="1"/>
  <c r="M133" i="6"/>
  <c r="L133" i="6"/>
  <c r="P133" i="6" s="1"/>
  <c r="K133" i="6"/>
  <c r="J133" i="6"/>
  <c r="N132" i="6" a="1"/>
  <c r="N132" i="6" s="1"/>
  <c r="M132" i="6"/>
  <c r="L132" i="6"/>
  <c r="P132" i="6" s="1"/>
  <c r="K132" i="6"/>
  <c r="J132" i="6"/>
  <c r="N131" i="6" a="1"/>
  <c r="N131" i="6" s="1"/>
  <c r="M131" i="6"/>
  <c r="L131" i="6"/>
  <c r="P131" i="6" s="1"/>
  <c r="K131" i="6"/>
  <c r="J131" i="6"/>
  <c r="N130" i="6" a="1"/>
  <c r="N130" i="6" s="1"/>
  <c r="M130" i="6"/>
  <c r="L130" i="6"/>
  <c r="P130" i="6" s="1"/>
  <c r="K130" i="6"/>
  <c r="J130" i="6"/>
  <c r="N126" i="6" a="1"/>
  <c r="N126" i="6" s="1"/>
  <c r="M126" i="6"/>
  <c r="L126" i="6"/>
  <c r="P126" i="6" s="1"/>
  <c r="K126" i="6"/>
  <c r="J126" i="6"/>
  <c r="N125" i="6" a="1"/>
  <c r="N125" i="6" s="1"/>
  <c r="M125" i="6"/>
  <c r="L125" i="6"/>
  <c r="P125" i="6" s="1"/>
  <c r="K125" i="6"/>
  <c r="J125" i="6"/>
  <c r="N124" i="6" a="1"/>
  <c r="N124" i="6" s="1"/>
  <c r="M124" i="6"/>
  <c r="L124" i="6"/>
  <c r="P124" i="6" s="1"/>
  <c r="K124" i="6"/>
  <c r="J124" i="6"/>
  <c r="N123" i="6" a="1"/>
  <c r="N123" i="6" s="1"/>
  <c r="M123" i="6"/>
  <c r="L123" i="6"/>
  <c r="P123" i="6" s="1"/>
  <c r="K123" i="6"/>
  <c r="J123" i="6"/>
  <c r="N122" i="6" a="1"/>
  <c r="N122" i="6" s="1"/>
  <c r="M122" i="6"/>
  <c r="L122" i="6"/>
  <c r="P122" i="6" s="1"/>
  <c r="K122" i="6"/>
  <c r="J122" i="6"/>
  <c r="N121" i="6" a="1"/>
  <c r="N121" i="6" s="1"/>
  <c r="M121" i="6"/>
  <c r="L121" i="6"/>
  <c r="P121" i="6" s="1"/>
  <c r="K121" i="6"/>
  <c r="J121" i="6"/>
  <c r="N120" i="6" a="1"/>
  <c r="N120" i="6" s="1"/>
  <c r="M120" i="6"/>
  <c r="L120" i="6"/>
  <c r="P120" i="6" s="1"/>
  <c r="K120" i="6"/>
  <c r="J120" i="6"/>
  <c r="N119" i="6" a="1"/>
  <c r="N119" i="6" s="1"/>
  <c r="M119" i="6"/>
  <c r="L119" i="6"/>
  <c r="P119" i="6" s="1"/>
  <c r="K119" i="6"/>
  <c r="J119" i="6"/>
  <c r="N118" i="6" a="1"/>
  <c r="N118" i="6" s="1"/>
  <c r="M118" i="6"/>
  <c r="L118" i="6"/>
  <c r="P118" i="6" s="1"/>
  <c r="K118" i="6"/>
  <c r="J118" i="6"/>
  <c r="N117" i="6" a="1"/>
  <c r="N117" i="6" s="1"/>
  <c r="M117" i="6"/>
  <c r="L117" i="6"/>
  <c r="P117" i="6" s="1"/>
  <c r="K117" i="6"/>
  <c r="J117" i="6"/>
  <c r="N116" i="6" a="1"/>
  <c r="N116" i="6" s="1"/>
  <c r="M116" i="6"/>
  <c r="L116" i="6"/>
  <c r="P116" i="6" s="1"/>
  <c r="K116" i="6"/>
  <c r="J116" i="6"/>
  <c r="N112" i="6" a="1"/>
  <c r="N112" i="6" s="1"/>
  <c r="M112" i="6"/>
  <c r="L112" i="6"/>
  <c r="P112" i="6" s="1"/>
  <c r="K112" i="6"/>
  <c r="J112" i="6"/>
  <c r="N111" i="6" a="1"/>
  <c r="N111" i="6" s="1"/>
  <c r="M111" i="6"/>
  <c r="L111" i="6"/>
  <c r="P111" i="6" s="1"/>
  <c r="K111" i="6"/>
  <c r="J111" i="6"/>
  <c r="N110" i="6" a="1"/>
  <c r="N110" i="6" s="1"/>
  <c r="M110" i="6"/>
  <c r="L110" i="6"/>
  <c r="P110" i="6" s="1"/>
  <c r="K110" i="6"/>
  <c r="J110" i="6"/>
  <c r="N109" i="6" a="1"/>
  <c r="N109" i="6" s="1"/>
  <c r="M109" i="6"/>
  <c r="L109" i="6"/>
  <c r="P109" i="6" s="1"/>
  <c r="K109" i="6"/>
  <c r="J109" i="6"/>
  <c r="N108" i="6" a="1"/>
  <c r="N108" i="6" s="1"/>
  <c r="M108" i="6"/>
  <c r="L108" i="6"/>
  <c r="P108" i="6" s="1"/>
  <c r="K108" i="6"/>
  <c r="J108" i="6"/>
  <c r="N107" i="6" a="1"/>
  <c r="N107" i="6" s="1"/>
  <c r="M107" i="6"/>
  <c r="L107" i="6"/>
  <c r="P107" i="6" s="1"/>
  <c r="K107" i="6"/>
  <c r="J107" i="6"/>
  <c r="N106" i="6" a="1"/>
  <c r="N106" i="6" s="1"/>
  <c r="M106" i="6"/>
  <c r="L106" i="6"/>
  <c r="P106" i="6" s="1"/>
  <c r="K106" i="6"/>
  <c r="J106" i="6"/>
  <c r="N105" i="6" a="1"/>
  <c r="N105" i="6" s="1"/>
  <c r="M105" i="6"/>
  <c r="L105" i="6"/>
  <c r="P105" i="6" s="1"/>
  <c r="K105" i="6"/>
  <c r="J105" i="6"/>
  <c r="N104" i="6" a="1"/>
  <c r="N104" i="6" s="1"/>
  <c r="M104" i="6"/>
  <c r="L104" i="6"/>
  <c r="P104" i="6" s="1"/>
  <c r="K104" i="6"/>
  <c r="J104" i="6"/>
  <c r="N103" i="6" a="1"/>
  <c r="N103" i="6" s="1"/>
  <c r="M103" i="6"/>
  <c r="L103" i="6"/>
  <c r="P103" i="6" s="1"/>
  <c r="K103" i="6"/>
  <c r="J103" i="6"/>
  <c r="N102" i="6" a="1"/>
  <c r="N102" i="6" s="1"/>
  <c r="M102" i="6"/>
  <c r="L102" i="6"/>
  <c r="P102" i="6" s="1"/>
  <c r="K102" i="6"/>
  <c r="J102" i="6"/>
  <c r="N98" i="6" a="1"/>
  <c r="N98" i="6" s="1"/>
  <c r="M98" i="6"/>
  <c r="L98" i="6"/>
  <c r="P98" i="6" s="1"/>
  <c r="K98" i="6"/>
  <c r="J98" i="6"/>
  <c r="N97" i="6" a="1"/>
  <c r="N97" i="6" s="1"/>
  <c r="M97" i="6"/>
  <c r="L97" i="6"/>
  <c r="P97" i="6" s="1"/>
  <c r="K97" i="6"/>
  <c r="J97" i="6"/>
  <c r="N96" i="6" a="1"/>
  <c r="N96" i="6" s="1"/>
  <c r="M96" i="6"/>
  <c r="L96" i="6"/>
  <c r="P96" i="6" s="1"/>
  <c r="K96" i="6"/>
  <c r="J96" i="6"/>
  <c r="N95" i="6" a="1"/>
  <c r="N95" i="6" s="1"/>
  <c r="M95" i="6"/>
  <c r="L95" i="6"/>
  <c r="P95" i="6" s="1"/>
  <c r="K95" i="6"/>
  <c r="J95" i="6"/>
  <c r="N94" i="6" a="1"/>
  <c r="N94" i="6" s="1"/>
  <c r="M94" i="6"/>
  <c r="L94" i="6"/>
  <c r="P94" i="6" s="1"/>
  <c r="K94" i="6"/>
  <c r="J94" i="6"/>
  <c r="N93" i="6" a="1"/>
  <c r="N93" i="6" s="1"/>
  <c r="M93" i="6"/>
  <c r="L93" i="6"/>
  <c r="P93" i="6" s="1"/>
  <c r="K93" i="6"/>
  <c r="J93" i="6"/>
  <c r="N92" i="6" a="1"/>
  <c r="N92" i="6" s="1"/>
  <c r="M92" i="6"/>
  <c r="L92" i="6"/>
  <c r="P92" i="6" s="1"/>
  <c r="K92" i="6"/>
  <c r="J92" i="6"/>
  <c r="N91" i="6" a="1"/>
  <c r="N91" i="6" s="1"/>
  <c r="M91" i="6"/>
  <c r="L91" i="6"/>
  <c r="P91" i="6" s="1"/>
  <c r="K91" i="6"/>
  <c r="J91" i="6"/>
  <c r="N90" i="6" a="1"/>
  <c r="N90" i="6" s="1"/>
  <c r="M90" i="6"/>
  <c r="L90" i="6"/>
  <c r="P90" i="6" s="1"/>
  <c r="K90" i="6"/>
  <c r="J90" i="6"/>
  <c r="N89" i="6" a="1"/>
  <c r="N89" i="6" s="1"/>
  <c r="M89" i="6"/>
  <c r="L89" i="6"/>
  <c r="P89" i="6" s="1"/>
  <c r="K89" i="6"/>
  <c r="J89" i="6"/>
  <c r="N88" i="6" a="1"/>
  <c r="N88" i="6" s="1"/>
  <c r="M88" i="6"/>
  <c r="L88" i="6"/>
  <c r="P88" i="6" s="1"/>
  <c r="K88" i="6"/>
  <c r="J88" i="6"/>
  <c r="N84" i="6" a="1"/>
  <c r="N84" i="6" s="1"/>
  <c r="M84" i="6"/>
  <c r="L84" i="6"/>
  <c r="P84" i="6" s="1"/>
  <c r="K84" i="6"/>
  <c r="J84" i="6"/>
  <c r="N83" i="6" a="1"/>
  <c r="N83" i="6" s="1"/>
  <c r="M83" i="6"/>
  <c r="L83" i="6"/>
  <c r="P83" i="6" s="1"/>
  <c r="K83" i="6"/>
  <c r="J83" i="6"/>
  <c r="N82" i="6" a="1"/>
  <c r="N82" i="6" s="1"/>
  <c r="M82" i="6"/>
  <c r="L82" i="6"/>
  <c r="P82" i="6" s="1"/>
  <c r="K82" i="6"/>
  <c r="J82" i="6"/>
  <c r="N81" i="6" a="1"/>
  <c r="N81" i="6" s="1"/>
  <c r="M81" i="6"/>
  <c r="L81" i="6"/>
  <c r="P81" i="6" s="1"/>
  <c r="K81" i="6"/>
  <c r="J81" i="6"/>
  <c r="N80" i="6" a="1"/>
  <c r="N80" i="6" s="1"/>
  <c r="M80" i="6"/>
  <c r="L80" i="6"/>
  <c r="P80" i="6" s="1"/>
  <c r="K80" i="6"/>
  <c r="J80" i="6"/>
  <c r="N79" i="6" a="1"/>
  <c r="N79" i="6" s="1"/>
  <c r="M79" i="6"/>
  <c r="L79" i="6"/>
  <c r="P79" i="6" s="1"/>
  <c r="K79" i="6"/>
  <c r="J79" i="6"/>
  <c r="N78" i="6" a="1"/>
  <c r="N78" i="6" s="1"/>
  <c r="M78" i="6"/>
  <c r="L78" i="6"/>
  <c r="P78" i="6" s="1"/>
  <c r="K78" i="6"/>
  <c r="J78" i="6"/>
  <c r="N77" i="6" a="1"/>
  <c r="N77" i="6" s="1"/>
  <c r="M77" i="6"/>
  <c r="L77" i="6"/>
  <c r="P77" i="6" s="1"/>
  <c r="K77" i="6"/>
  <c r="J77" i="6"/>
  <c r="N76" i="6" a="1"/>
  <c r="N76" i="6" s="1"/>
  <c r="M76" i="6"/>
  <c r="L76" i="6"/>
  <c r="P76" i="6" s="1"/>
  <c r="K76" i="6"/>
  <c r="J76" i="6"/>
  <c r="N75" i="6" a="1"/>
  <c r="N75" i="6" s="1"/>
  <c r="M75" i="6"/>
  <c r="L75" i="6"/>
  <c r="P75" i="6" s="1"/>
  <c r="K75" i="6"/>
  <c r="J75" i="6"/>
  <c r="N74" i="6" a="1"/>
  <c r="N74" i="6" s="1"/>
  <c r="M74" i="6"/>
  <c r="L74" i="6"/>
  <c r="P74" i="6" s="1"/>
  <c r="K74" i="6"/>
  <c r="J74" i="6"/>
  <c r="N70" i="6" a="1"/>
  <c r="N70" i="6" s="1"/>
  <c r="M70" i="6"/>
  <c r="L70" i="6"/>
  <c r="P70" i="6" s="1"/>
  <c r="K70" i="6"/>
  <c r="J70" i="6"/>
  <c r="N69" i="6" a="1"/>
  <c r="N69" i="6" s="1"/>
  <c r="M69" i="6"/>
  <c r="L69" i="6"/>
  <c r="P69" i="6" s="1"/>
  <c r="K69" i="6"/>
  <c r="J69" i="6"/>
  <c r="N68" i="6" a="1"/>
  <c r="N68" i="6" s="1"/>
  <c r="M68" i="6"/>
  <c r="L68" i="6"/>
  <c r="P68" i="6" s="1"/>
  <c r="K68" i="6"/>
  <c r="J68" i="6"/>
  <c r="N67" i="6" a="1"/>
  <c r="N67" i="6" s="1"/>
  <c r="M67" i="6"/>
  <c r="L67" i="6"/>
  <c r="P67" i="6" s="1"/>
  <c r="K67" i="6"/>
  <c r="J67" i="6"/>
  <c r="N66" i="6" a="1"/>
  <c r="N66" i="6" s="1"/>
  <c r="M66" i="6"/>
  <c r="L66" i="6"/>
  <c r="P66" i="6" s="1"/>
  <c r="K66" i="6"/>
  <c r="J66" i="6"/>
  <c r="N65" i="6" a="1"/>
  <c r="N65" i="6" s="1"/>
  <c r="M65" i="6"/>
  <c r="L65" i="6"/>
  <c r="P65" i="6" s="1"/>
  <c r="K65" i="6"/>
  <c r="J65" i="6"/>
  <c r="N64" i="6" a="1"/>
  <c r="N64" i="6" s="1"/>
  <c r="M64" i="6"/>
  <c r="L64" i="6"/>
  <c r="P64" i="6" s="1"/>
  <c r="K64" i="6"/>
  <c r="J64" i="6"/>
  <c r="N63" i="6" a="1"/>
  <c r="N63" i="6" s="1"/>
  <c r="M63" i="6"/>
  <c r="L63" i="6"/>
  <c r="P63" i="6" s="1"/>
  <c r="K63" i="6"/>
  <c r="J63" i="6"/>
  <c r="N62" i="6" a="1"/>
  <c r="N62" i="6" s="1"/>
  <c r="M62" i="6"/>
  <c r="L62" i="6"/>
  <c r="P62" i="6" s="1"/>
  <c r="K62" i="6"/>
  <c r="J62" i="6"/>
  <c r="N61" i="6" a="1"/>
  <c r="N61" i="6" s="1"/>
  <c r="M61" i="6"/>
  <c r="L61" i="6"/>
  <c r="P61" i="6" s="1"/>
  <c r="K61" i="6"/>
  <c r="J61" i="6"/>
  <c r="N60" i="6" a="1"/>
  <c r="N60" i="6" s="1"/>
  <c r="M60" i="6"/>
  <c r="L60" i="6"/>
  <c r="P60" i="6" s="1"/>
  <c r="K60" i="6"/>
  <c r="J60" i="6"/>
  <c r="N56" i="6" a="1"/>
  <c r="N56" i="6" s="1"/>
  <c r="M56" i="6"/>
  <c r="L56" i="6"/>
  <c r="P56" i="6" s="1"/>
  <c r="K56" i="6"/>
  <c r="J56" i="6"/>
  <c r="N55" i="6" a="1"/>
  <c r="N55" i="6" s="1"/>
  <c r="M55" i="6"/>
  <c r="L55" i="6"/>
  <c r="P55" i="6" s="1"/>
  <c r="K55" i="6"/>
  <c r="J55" i="6"/>
  <c r="N54" i="6" a="1"/>
  <c r="N54" i="6" s="1"/>
  <c r="M54" i="6"/>
  <c r="L54" i="6"/>
  <c r="P54" i="6" s="1"/>
  <c r="K54" i="6"/>
  <c r="J54" i="6"/>
  <c r="N53" i="6" a="1"/>
  <c r="N53" i="6" s="1"/>
  <c r="M53" i="6"/>
  <c r="L53" i="6"/>
  <c r="P53" i="6" s="1"/>
  <c r="K53" i="6"/>
  <c r="J53" i="6"/>
  <c r="N52" i="6" a="1"/>
  <c r="N52" i="6" s="1"/>
  <c r="M52" i="6"/>
  <c r="L52" i="6"/>
  <c r="P52" i="6" s="1"/>
  <c r="K52" i="6"/>
  <c r="J52" i="6"/>
  <c r="N51" i="6" a="1"/>
  <c r="N51" i="6" s="1"/>
  <c r="M51" i="6"/>
  <c r="L51" i="6"/>
  <c r="P51" i="6" s="1"/>
  <c r="K51" i="6"/>
  <c r="J51" i="6"/>
  <c r="N50" i="6" a="1"/>
  <c r="N50" i="6" s="1"/>
  <c r="M50" i="6"/>
  <c r="L50" i="6"/>
  <c r="P50" i="6" s="1"/>
  <c r="K50" i="6"/>
  <c r="J50" i="6"/>
  <c r="N49" i="6" a="1"/>
  <c r="N49" i="6" s="1"/>
  <c r="M49" i="6"/>
  <c r="L49" i="6"/>
  <c r="P49" i="6" s="1"/>
  <c r="K49" i="6"/>
  <c r="J49" i="6"/>
  <c r="N48" i="6" a="1"/>
  <c r="N48" i="6" s="1"/>
  <c r="M48" i="6"/>
  <c r="L48" i="6"/>
  <c r="P48" i="6" s="1"/>
  <c r="K48" i="6"/>
  <c r="J48" i="6"/>
  <c r="N47" i="6" a="1"/>
  <c r="N47" i="6" s="1"/>
  <c r="M47" i="6"/>
  <c r="L47" i="6"/>
  <c r="P47" i="6" s="1"/>
  <c r="K47" i="6"/>
  <c r="J47" i="6"/>
  <c r="N46" i="6" a="1"/>
  <c r="N46" i="6" s="1"/>
  <c r="M46" i="6"/>
  <c r="L46" i="6"/>
  <c r="P46" i="6" s="1"/>
  <c r="K46" i="6"/>
  <c r="J46" i="6"/>
  <c r="N42" i="6" a="1"/>
  <c r="N42" i="6" s="1"/>
  <c r="M42" i="6"/>
  <c r="L42" i="6"/>
  <c r="P42" i="6" s="1"/>
  <c r="K42" i="6"/>
  <c r="J42" i="6"/>
  <c r="N41" i="6" a="1"/>
  <c r="N41" i="6" s="1"/>
  <c r="M41" i="6"/>
  <c r="L41" i="6"/>
  <c r="P41" i="6" s="1"/>
  <c r="K41" i="6"/>
  <c r="J41" i="6"/>
  <c r="N40" i="6" a="1"/>
  <c r="N40" i="6" s="1"/>
  <c r="M40" i="6"/>
  <c r="L40" i="6"/>
  <c r="P40" i="6" s="1"/>
  <c r="K40" i="6"/>
  <c r="J40" i="6"/>
  <c r="N39" i="6" a="1"/>
  <c r="N39" i="6" s="1"/>
  <c r="M39" i="6"/>
  <c r="L39" i="6"/>
  <c r="P39" i="6" s="1"/>
  <c r="K39" i="6"/>
  <c r="J39" i="6"/>
  <c r="N38" i="6" a="1"/>
  <c r="N38" i="6" s="1"/>
  <c r="M38" i="6"/>
  <c r="L38" i="6"/>
  <c r="P38" i="6" s="1"/>
  <c r="K38" i="6"/>
  <c r="J38" i="6"/>
  <c r="N37" i="6" a="1"/>
  <c r="N37" i="6" s="1"/>
  <c r="M37" i="6"/>
  <c r="L37" i="6"/>
  <c r="P37" i="6" s="1"/>
  <c r="K37" i="6"/>
  <c r="J37" i="6"/>
  <c r="N36" i="6" a="1"/>
  <c r="N36" i="6" s="1"/>
  <c r="M36" i="6"/>
  <c r="L36" i="6"/>
  <c r="P36" i="6" s="1"/>
  <c r="K36" i="6"/>
  <c r="J36" i="6"/>
  <c r="N35" i="6" a="1"/>
  <c r="N35" i="6" s="1"/>
  <c r="M35" i="6"/>
  <c r="L35" i="6"/>
  <c r="P35" i="6" s="1"/>
  <c r="K35" i="6"/>
  <c r="J35" i="6"/>
  <c r="N34" i="6" a="1"/>
  <c r="N34" i="6" s="1"/>
  <c r="M34" i="6"/>
  <c r="L34" i="6"/>
  <c r="P34" i="6" s="1"/>
  <c r="K34" i="6"/>
  <c r="J34" i="6"/>
  <c r="N33" i="6" a="1"/>
  <c r="N33" i="6" s="1"/>
  <c r="M33" i="6"/>
  <c r="L33" i="6"/>
  <c r="P33" i="6" s="1"/>
  <c r="K33" i="6"/>
  <c r="J33" i="6"/>
  <c r="N32" i="6" a="1"/>
  <c r="N32" i="6" s="1"/>
  <c r="M32" i="6"/>
  <c r="L32" i="6"/>
  <c r="P32" i="6" s="1"/>
  <c r="K32" i="6"/>
  <c r="J32" i="6"/>
  <c r="N28" i="6" a="1"/>
  <c r="N28" i="6" s="1"/>
  <c r="M28" i="6"/>
  <c r="L28" i="6"/>
  <c r="P28" i="6" s="1"/>
  <c r="K28" i="6"/>
  <c r="J28" i="6"/>
  <c r="N27" i="6" a="1"/>
  <c r="N27" i="6" s="1"/>
  <c r="M27" i="6"/>
  <c r="L27" i="6"/>
  <c r="P27" i="6" s="1"/>
  <c r="K27" i="6"/>
  <c r="J27" i="6"/>
  <c r="N26" i="6" a="1"/>
  <c r="N26" i="6" s="1"/>
  <c r="M26" i="6"/>
  <c r="L26" i="6"/>
  <c r="P26" i="6" s="1"/>
  <c r="K26" i="6"/>
  <c r="J26" i="6"/>
  <c r="N25" i="6" a="1"/>
  <c r="N25" i="6" s="1"/>
  <c r="M25" i="6"/>
  <c r="L25" i="6"/>
  <c r="P25" i="6" s="1"/>
  <c r="K25" i="6"/>
  <c r="J25" i="6"/>
  <c r="N24" i="6" a="1"/>
  <c r="N24" i="6" s="1"/>
  <c r="M24" i="6"/>
  <c r="L24" i="6"/>
  <c r="P24" i="6" s="1"/>
  <c r="K24" i="6"/>
  <c r="J24" i="6"/>
  <c r="N23" i="6" a="1"/>
  <c r="N23" i="6" s="1"/>
  <c r="M23" i="6"/>
  <c r="L23" i="6"/>
  <c r="P23" i="6" s="1"/>
  <c r="K23" i="6"/>
  <c r="J23" i="6"/>
  <c r="N22" i="6" a="1"/>
  <c r="N22" i="6" s="1"/>
  <c r="M22" i="6"/>
  <c r="L22" i="6"/>
  <c r="P22" i="6" s="1"/>
  <c r="K22" i="6"/>
  <c r="J22" i="6"/>
  <c r="N21" i="6" a="1"/>
  <c r="N21" i="6" s="1"/>
  <c r="M21" i="6"/>
  <c r="L21" i="6"/>
  <c r="P21" i="6" s="1"/>
  <c r="K21" i="6"/>
  <c r="J21" i="6"/>
  <c r="N20" i="6" a="1"/>
  <c r="N20" i="6" s="1"/>
  <c r="M20" i="6"/>
  <c r="L20" i="6"/>
  <c r="P20" i="6" s="1"/>
  <c r="K20" i="6"/>
  <c r="J20" i="6"/>
  <c r="N19" i="6" a="1"/>
  <c r="N19" i="6" s="1"/>
  <c r="M19" i="6"/>
  <c r="L19" i="6"/>
  <c r="P19" i="6" s="1"/>
  <c r="K19" i="6"/>
  <c r="J19" i="6"/>
  <c r="N18" i="6" a="1"/>
  <c r="N18" i="6" s="1"/>
  <c r="M18" i="6"/>
  <c r="L18" i="6"/>
  <c r="P18" i="6" s="1"/>
  <c r="K18" i="6"/>
  <c r="J18" i="6"/>
  <c r="D47" i="5" a="1"/>
  <c r="D47" i="5" s="1"/>
  <c r="D30" i="5" s="1"/>
  <c r="C47" i="5" a="1"/>
  <c r="C47" i="5" s="1"/>
  <c r="C30" i="5" s="1"/>
  <c r="D46" i="5" a="1"/>
  <c r="D46" i="5" s="1"/>
  <c r="D29" i="5" s="1"/>
  <c r="C46" i="5" a="1"/>
  <c r="C46" i="5" s="1"/>
  <c r="C29" i="5" s="1"/>
  <c r="D45" i="5" a="1"/>
  <c r="D45" i="5" s="1"/>
  <c r="D28" i="5" s="1"/>
  <c r="C45" i="5" a="1"/>
  <c r="C45" i="5" s="1"/>
  <c r="C28" i="5" s="1"/>
  <c r="D44" i="5" a="1"/>
  <c r="D44" i="5" s="1"/>
  <c r="D27" i="5" s="1"/>
  <c r="C44" i="5" a="1"/>
  <c r="C44" i="5" s="1"/>
  <c r="C27" i="5" s="1"/>
  <c r="D43" i="5" a="1"/>
  <c r="D43" i="5" s="1"/>
  <c r="D26" i="5" s="1"/>
  <c r="C43" i="5" a="1"/>
  <c r="C43" i="5" s="1"/>
  <c r="C26" i="5" s="1"/>
  <c r="D42" i="5" a="1"/>
  <c r="D42" i="5" s="1"/>
  <c r="D25" i="5" s="1"/>
  <c r="C42" i="5" a="1"/>
  <c r="C42" i="5" s="1"/>
  <c r="C25" i="5" s="1"/>
  <c r="D41" i="5" a="1"/>
  <c r="D41" i="5" s="1"/>
  <c r="D24" i="5" s="1"/>
  <c r="C41" i="5" a="1"/>
  <c r="C41" i="5" s="1"/>
  <c r="C24" i="5" s="1"/>
  <c r="D40" i="5" a="1"/>
  <c r="D40" i="5" s="1"/>
  <c r="D23" i="5" s="1"/>
  <c r="C40" i="5" a="1"/>
  <c r="C40" i="5" s="1"/>
  <c r="C23" i="5" s="1"/>
  <c r="D39" i="5" a="1"/>
  <c r="D39" i="5" s="1"/>
  <c r="D22" i="5" s="1"/>
  <c r="C39" i="5" a="1"/>
  <c r="C39" i="5" s="1"/>
  <c r="D38" i="5" a="1"/>
  <c r="D38" i="5" s="1"/>
  <c r="D21" i="5" s="1"/>
  <c r="C38" i="5" a="1"/>
  <c r="C38" i="5" s="1"/>
  <c r="C21" i="5" s="1"/>
  <c r="D37" i="5" a="1"/>
  <c r="D37" i="5" s="1"/>
  <c r="D20" i="5" s="1"/>
  <c r="C37" i="5" a="1"/>
  <c r="C37" i="5" s="1"/>
  <c r="C20" i="5" s="1"/>
  <c r="D36" i="5" a="1"/>
  <c r="D36" i="5" s="1"/>
  <c r="H36" i="5" s="1"/>
  <c r="P37" i="5" s="1"/>
  <c r="C36" i="5" a="1"/>
  <c r="C36" i="5" s="1"/>
  <c r="D19" i="5" l="1"/>
  <c r="H37" i="5"/>
  <c r="C7" i="5" a="1"/>
  <c r="C7" i="5" s="1"/>
  <c r="G16" i="6"/>
  <c r="G15" i="6"/>
  <c r="G11" i="6"/>
  <c r="G12" i="6"/>
  <c r="G13" i="6"/>
  <c r="G14" i="6"/>
  <c r="G10" i="6"/>
  <c r="G8" i="6"/>
  <c r="G9" i="6"/>
  <c r="G7" i="6"/>
  <c r="G6" i="6"/>
  <c r="O182" i="6"/>
  <c r="Q182" i="6"/>
  <c r="O181" i="6"/>
  <c r="Q181" i="6"/>
  <c r="O180" i="6"/>
  <c r="Q180" i="6"/>
  <c r="O179" i="6"/>
  <c r="Q179" i="6"/>
  <c r="O178" i="6"/>
  <c r="Q178" i="6"/>
  <c r="O177" i="6"/>
  <c r="Q177" i="6"/>
  <c r="O176" i="6"/>
  <c r="Q176" i="6"/>
  <c r="O175" i="6"/>
  <c r="Q175" i="6"/>
  <c r="Q133" i="6"/>
  <c r="O174" i="6"/>
  <c r="Q174" i="6"/>
  <c r="O173" i="6"/>
  <c r="Q173" i="6"/>
  <c r="O172" i="6"/>
  <c r="Q172" i="6"/>
  <c r="O168" i="6"/>
  <c r="Q168" i="6"/>
  <c r="O167" i="6"/>
  <c r="Q167" i="6"/>
  <c r="O166" i="6"/>
  <c r="Q166" i="6"/>
  <c r="O165" i="6"/>
  <c r="Q165" i="6"/>
  <c r="O164" i="6"/>
  <c r="Q164" i="6"/>
  <c r="O163" i="6"/>
  <c r="Q163" i="6"/>
  <c r="O162" i="6"/>
  <c r="Q162" i="6"/>
  <c r="O161" i="6"/>
  <c r="Q161" i="6"/>
  <c r="O160" i="6"/>
  <c r="Q160" i="6"/>
  <c r="O159" i="6"/>
  <c r="Q159" i="6"/>
  <c r="O158" i="6"/>
  <c r="Q158" i="6"/>
  <c r="O154" i="6"/>
  <c r="Q154" i="6"/>
  <c r="O153" i="6"/>
  <c r="Q153" i="6"/>
  <c r="O152" i="6"/>
  <c r="Q152" i="6"/>
  <c r="O151" i="6"/>
  <c r="Q151" i="6"/>
  <c r="O150" i="6"/>
  <c r="Q150" i="6"/>
  <c r="O149" i="6"/>
  <c r="Q149" i="6"/>
  <c r="O148" i="6"/>
  <c r="Q148" i="6"/>
  <c r="O147" i="6"/>
  <c r="Q147" i="6"/>
  <c r="O146" i="6"/>
  <c r="Q146" i="6"/>
  <c r="O145" i="6"/>
  <c r="Q145" i="6"/>
  <c r="O144" i="6"/>
  <c r="Q144" i="6"/>
  <c r="O140" i="6"/>
  <c r="Q140" i="6"/>
  <c r="O139" i="6"/>
  <c r="Q139" i="6"/>
  <c r="O138" i="6"/>
  <c r="Q138" i="6"/>
  <c r="O137" i="6"/>
  <c r="Q137" i="6"/>
  <c r="O136" i="6"/>
  <c r="Q136" i="6"/>
  <c r="O135" i="6"/>
  <c r="Q135" i="6"/>
  <c r="O134" i="6"/>
  <c r="Q134" i="6"/>
  <c r="O133" i="6"/>
  <c r="O132" i="6"/>
  <c r="Q132" i="6"/>
  <c r="O131" i="6"/>
  <c r="Q131" i="6"/>
  <c r="O130" i="6"/>
  <c r="Q130" i="6"/>
  <c r="O126" i="6"/>
  <c r="Q126" i="6"/>
  <c r="O125" i="6"/>
  <c r="Q125" i="6"/>
  <c r="O124" i="6"/>
  <c r="Q124" i="6"/>
  <c r="O123" i="6"/>
  <c r="Q123" i="6"/>
  <c r="O122" i="6"/>
  <c r="Q122" i="6"/>
  <c r="O121" i="6"/>
  <c r="Q121" i="6"/>
  <c r="O120" i="6"/>
  <c r="Q120" i="6"/>
  <c r="O119" i="6"/>
  <c r="Q119" i="6"/>
  <c r="O118" i="6"/>
  <c r="Q118" i="6"/>
  <c r="O117" i="6"/>
  <c r="Q117" i="6"/>
  <c r="O116" i="6"/>
  <c r="Q116" i="6"/>
  <c r="O112" i="6"/>
  <c r="Q112" i="6"/>
  <c r="O111" i="6"/>
  <c r="Q111" i="6"/>
  <c r="O110" i="6"/>
  <c r="Q110" i="6"/>
  <c r="O109" i="6"/>
  <c r="Q109" i="6"/>
  <c r="O108" i="6"/>
  <c r="Q108" i="6"/>
  <c r="O107" i="6"/>
  <c r="Q107" i="6"/>
  <c r="O106" i="6"/>
  <c r="Q106" i="6"/>
  <c r="O105" i="6"/>
  <c r="Q105" i="6"/>
  <c r="O104" i="6"/>
  <c r="Q104" i="6"/>
  <c r="Q88" i="6"/>
  <c r="O103" i="6"/>
  <c r="Q103" i="6"/>
  <c r="O102" i="6"/>
  <c r="Q102" i="6"/>
  <c r="O98" i="6"/>
  <c r="Q98" i="6"/>
  <c r="O97" i="6"/>
  <c r="Q97" i="6"/>
  <c r="O96" i="6"/>
  <c r="Q96" i="6"/>
  <c r="O95" i="6"/>
  <c r="Q95" i="6"/>
  <c r="O94" i="6"/>
  <c r="Q94" i="6"/>
  <c r="O93" i="6"/>
  <c r="Q93" i="6"/>
  <c r="O92" i="6"/>
  <c r="Q92" i="6"/>
  <c r="O91" i="6"/>
  <c r="Q91" i="6"/>
  <c r="O90" i="6"/>
  <c r="Q90" i="6"/>
  <c r="O89" i="6"/>
  <c r="Q89" i="6"/>
  <c r="O88" i="6"/>
  <c r="Q70" i="6"/>
  <c r="O84" i="6"/>
  <c r="Q84" i="6"/>
  <c r="O83" i="6"/>
  <c r="Q83" i="6"/>
  <c r="O82" i="6"/>
  <c r="Q82" i="6"/>
  <c r="O81" i="6"/>
  <c r="Q81" i="6"/>
  <c r="O80" i="6"/>
  <c r="Q80" i="6"/>
  <c r="O79" i="6"/>
  <c r="Q79" i="6"/>
  <c r="O78" i="6"/>
  <c r="Q78" i="6"/>
  <c r="O77" i="6"/>
  <c r="Q77" i="6"/>
  <c r="Q64" i="6"/>
  <c r="O76" i="6"/>
  <c r="Q76" i="6"/>
  <c r="Q62" i="6"/>
  <c r="O75" i="6"/>
  <c r="Q75" i="6"/>
  <c r="Q61" i="6"/>
  <c r="O74" i="6"/>
  <c r="Q74" i="6"/>
  <c r="Q69" i="6"/>
  <c r="O70" i="6"/>
  <c r="Q68" i="6"/>
  <c r="O69" i="6"/>
  <c r="O68" i="6"/>
  <c r="O67" i="6"/>
  <c r="Q67" i="6"/>
  <c r="O66" i="6"/>
  <c r="Q66" i="6"/>
  <c r="O65" i="6"/>
  <c r="Q65" i="6"/>
  <c r="O64" i="6"/>
  <c r="O63" i="6"/>
  <c r="Q63" i="6"/>
  <c r="Q60" i="6"/>
  <c r="O62" i="6"/>
  <c r="O61" i="6"/>
  <c r="Q56" i="6"/>
  <c r="O60" i="6"/>
  <c r="Q52" i="6"/>
  <c r="O56" i="6"/>
  <c r="O55" i="6"/>
  <c r="Q55" i="6"/>
  <c r="O54" i="6"/>
  <c r="Q54" i="6"/>
  <c r="Q53" i="6"/>
  <c r="O53" i="6"/>
  <c r="Q51" i="6"/>
  <c r="O52" i="6"/>
  <c r="O51" i="6"/>
  <c r="Q50" i="6"/>
  <c r="Q41" i="6"/>
  <c r="Q49" i="6"/>
  <c r="O50" i="6"/>
  <c r="O49" i="6"/>
  <c r="Q40" i="6"/>
  <c r="Q48" i="6"/>
  <c r="O48" i="6"/>
  <c r="Q42" i="6"/>
  <c r="O47" i="6"/>
  <c r="Q47" i="6"/>
  <c r="O46" i="6"/>
  <c r="Q46" i="6"/>
  <c r="O42" i="6"/>
  <c r="O41" i="6"/>
  <c r="Q39" i="6"/>
  <c r="O40" i="6"/>
  <c r="Q38" i="6"/>
  <c r="O39" i="6"/>
  <c r="O38" i="6"/>
  <c r="Q34" i="6"/>
  <c r="Q37" i="6"/>
  <c r="O37" i="6"/>
  <c r="Q33" i="6"/>
  <c r="Q36" i="6"/>
  <c r="O36" i="6"/>
  <c r="Q35" i="6"/>
  <c r="O35" i="6"/>
  <c r="O34" i="6"/>
  <c r="Q26" i="6"/>
  <c r="O33" i="6"/>
  <c r="Q32" i="6"/>
  <c r="O32" i="6"/>
  <c r="Q28" i="6"/>
  <c r="Q27" i="6"/>
  <c r="O28" i="6"/>
  <c r="O27" i="6"/>
  <c r="O26" i="6"/>
  <c r="Q25" i="6"/>
  <c r="O25" i="6"/>
  <c r="Q24" i="6"/>
  <c r="O24" i="6"/>
  <c r="O23" i="6"/>
  <c r="Q23" i="6"/>
  <c r="Q19" i="6"/>
  <c r="Q22" i="6"/>
  <c r="O22" i="6"/>
  <c r="Q21" i="6"/>
  <c r="O21" i="6"/>
  <c r="O20" i="6"/>
  <c r="Q20" i="6"/>
  <c r="O19" i="6"/>
  <c r="Q18" i="6"/>
  <c r="O18" i="6"/>
  <c r="C22" i="5"/>
  <c r="E39" i="5"/>
  <c r="E22" i="5" s="1"/>
  <c r="C19" i="5"/>
  <c r="C15" i="5"/>
  <c r="C16" i="5"/>
  <c r="C10" i="5"/>
  <c r="C8" i="5" a="1"/>
  <c r="C8" i="5" s="1"/>
  <c r="F36" i="5"/>
  <c r="O37" i="5" s="1"/>
  <c r="E47" i="5"/>
  <c r="E30" i="5" s="1"/>
  <c r="E46" i="5"/>
  <c r="E29" i="5" s="1"/>
  <c r="E45" i="5"/>
  <c r="E28" i="5" s="1"/>
  <c r="E44" i="5"/>
  <c r="E27" i="5" s="1"/>
  <c r="E43" i="5"/>
  <c r="E26" i="5" s="1"/>
  <c r="E42" i="5"/>
  <c r="E25" i="5" s="1"/>
  <c r="E41" i="5"/>
  <c r="E24" i="5" s="1"/>
  <c r="E40" i="5"/>
  <c r="E23" i="5" s="1"/>
  <c r="E38" i="5"/>
  <c r="E21" i="5" s="1"/>
  <c r="E37" i="5"/>
  <c r="E20" i="5" s="1"/>
  <c r="E36" i="5"/>
  <c r="E19" i="5" s="1"/>
  <c r="H38" i="5" l="1"/>
  <c r="P38" i="5"/>
  <c r="C13" i="5"/>
  <c r="C9" i="5"/>
  <c r="G17" i="6"/>
  <c r="H7" i="6"/>
  <c r="F16" i="6"/>
  <c r="H16" i="6"/>
  <c r="H15" i="6"/>
  <c r="F15" i="6"/>
  <c r="H14" i="6"/>
  <c r="F14" i="6"/>
  <c r="H13" i="6"/>
  <c r="F13" i="6"/>
  <c r="H12" i="6"/>
  <c r="F12" i="6"/>
  <c r="H11" i="6"/>
  <c r="F11" i="6"/>
  <c r="H10" i="6"/>
  <c r="F10" i="6"/>
  <c r="F9" i="6"/>
  <c r="H9" i="6"/>
  <c r="H8" i="6"/>
  <c r="F8" i="6"/>
  <c r="F7" i="6"/>
  <c r="H6" i="6"/>
  <c r="F6" i="6"/>
  <c r="R182" i="6"/>
  <c r="M17" i="7" s="1"/>
  <c r="R181" i="6"/>
  <c r="L17" i="7" s="1"/>
  <c r="R180" i="6"/>
  <c r="K17" i="7" s="1"/>
  <c r="R179" i="6"/>
  <c r="J17" i="7" s="1"/>
  <c r="R178" i="6"/>
  <c r="I17" i="7" s="1"/>
  <c r="R177" i="6"/>
  <c r="H17" i="7" s="1"/>
  <c r="R176" i="6"/>
  <c r="G17" i="7" s="1"/>
  <c r="R175" i="6"/>
  <c r="F17" i="7" s="1"/>
  <c r="R174" i="6"/>
  <c r="E17" i="7" s="1"/>
  <c r="R133" i="6"/>
  <c r="F14" i="7" s="1"/>
  <c r="R173" i="6"/>
  <c r="D17" i="7" s="1"/>
  <c r="R172" i="6"/>
  <c r="C17" i="7" s="1"/>
  <c r="R168" i="6"/>
  <c r="M16" i="7" s="1"/>
  <c r="R167" i="6"/>
  <c r="L16" i="7" s="1"/>
  <c r="R166" i="6"/>
  <c r="K16" i="7" s="1"/>
  <c r="R165" i="6"/>
  <c r="J16" i="7" s="1"/>
  <c r="R164" i="6"/>
  <c r="I16" i="7" s="1"/>
  <c r="R163" i="6"/>
  <c r="H16" i="7" s="1"/>
  <c r="R162" i="6"/>
  <c r="G16" i="7" s="1"/>
  <c r="R161" i="6"/>
  <c r="F16" i="7" s="1"/>
  <c r="R160" i="6"/>
  <c r="E16" i="7" s="1"/>
  <c r="R159" i="6"/>
  <c r="D16" i="7" s="1"/>
  <c r="R158" i="6"/>
  <c r="C16" i="7" s="1"/>
  <c r="R154" i="6"/>
  <c r="M15" i="7" s="1"/>
  <c r="R153" i="6"/>
  <c r="L15" i="7" s="1"/>
  <c r="R152" i="6"/>
  <c r="K15" i="7" s="1"/>
  <c r="R151" i="6"/>
  <c r="J15" i="7" s="1"/>
  <c r="R150" i="6"/>
  <c r="I15" i="7" s="1"/>
  <c r="R149" i="6"/>
  <c r="H15" i="7" s="1"/>
  <c r="R148" i="6"/>
  <c r="G15" i="7" s="1"/>
  <c r="R147" i="6"/>
  <c r="F15" i="7" s="1"/>
  <c r="R146" i="6"/>
  <c r="E15" i="7" s="1"/>
  <c r="R145" i="6"/>
  <c r="D15" i="7" s="1"/>
  <c r="R144" i="6"/>
  <c r="C15" i="7" s="1"/>
  <c r="R140" i="6"/>
  <c r="M14" i="7" s="1"/>
  <c r="R139" i="6"/>
  <c r="L14" i="7" s="1"/>
  <c r="R138" i="6"/>
  <c r="K14" i="7" s="1"/>
  <c r="R137" i="6"/>
  <c r="J14" i="7" s="1"/>
  <c r="R136" i="6"/>
  <c r="I14" i="7" s="1"/>
  <c r="R135" i="6"/>
  <c r="H14" i="7" s="1"/>
  <c r="R134" i="6"/>
  <c r="G14" i="7" s="1"/>
  <c r="R132" i="6"/>
  <c r="E14" i="7" s="1"/>
  <c r="R131" i="6"/>
  <c r="D14" i="7" s="1"/>
  <c r="R130" i="6"/>
  <c r="C14" i="7" s="1"/>
  <c r="R126" i="6"/>
  <c r="M13" i="7" s="1"/>
  <c r="R125" i="6"/>
  <c r="L13" i="7" s="1"/>
  <c r="R124" i="6"/>
  <c r="K13" i="7" s="1"/>
  <c r="R123" i="6"/>
  <c r="J13" i="7" s="1"/>
  <c r="R122" i="6"/>
  <c r="I13" i="7" s="1"/>
  <c r="R121" i="6"/>
  <c r="H13" i="7" s="1"/>
  <c r="R120" i="6"/>
  <c r="G13" i="7" s="1"/>
  <c r="R119" i="6"/>
  <c r="F13" i="7" s="1"/>
  <c r="R118" i="6"/>
  <c r="E13" i="7" s="1"/>
  <c r="R117" i="6"/>
  <c r="D13" i="7" s="1"/>
  <c r="R116" i="6"/>
  <c r="C13" i="7" s="1"/>
  <c r="R112" i="6"/>
  <c r="M12" i="7" s="1"/>
  <c r="R111" i="6"/>
  <c r="L12" i="7" s="1"/>
  <c r="R110" i="6"/>
  <c r="K12" i="7" s="1"/>
  <c r="R109" i="6"/>
  <c r="J12" i="7" s="1"/>
  <c r="R108" i="6"/>
  <c r="I12" i="7" s="1"/>
  <c r="R107" i="6"/>
  <c r="H12" i="7" s="1"/>
  <c r="R106" i="6"/>
  <c r="G12" i="7" s="1"/>
  <c r="R105" i="6"/>
  <c r="F12" i="7" s="1"/>
  <c r="R104" i="6"/>
  <c r="E12" i="7" s="1"/>
  <c r="R103" i="6"/>
  <c r="D12" i="7" s="1"/>
  <c r="R88" i="6"/>
  <c r="C11" i="7" s="1"/>
  <c r="R102" i="6"/>
  <c r="C12" i="7" s="1"/>
  <c r="R98" i="6"/>
  <c r="M11" i="7" s="1"/>
  <c r="R97" i="6"/>
  <c r="L11" i="7" s="1"/>
  <c r="R96" i="6"/>
  <c r="K11" i="7" s="1"/>
  <c r="R95" i="6"/>
  <c r="J11" i="7" s="1"/>
  <c r="R94" i="6"/>
  <c r="I11" i="7" s="1"/>
  <c r="R93" i="6"/>
  <c r="H11" i="7" s="1"/>
  <c r="R92" i="6"/>
  <c r="G11" i="7" s="1"/>
  <c r="R91" i="6"/>
  <c r="F11" i="7" s="1"/>
  <c r="R90" i="6"/>
  <c r="E11" i="7" s="1"/>
  <c r="R70" i="6"/>
  <c r="M9" i="7" s="1"/>
  <c r="R89" i="6"/>
  <c r="D11" i="7" s="1"/>
  <c r="R84" i="6"/>
  <c r="M10" i="7" s="1"/>
  <c r="R83" i="6"/>
  <c r="L10" i="7" s="1"/>
  <c r="R82" i="6"/>
  <c r="K10" i="7" s="1"/>
  <c r="R81" i="6"/>
  <c r="J10" i="7" s="1"/>
  <c r="R80" i="6"/>
  <c r="I10" i="7" s="1"/>
  <c r="R79" i="6"/>
  <c r="H10" i="7" s="1"/>
  <c r="R78" i="6"/>
  <c r="G10" i="7" s="1"/>
  <c r="R77" i="6"/>
  <c r="F10" i="7" s="1"/>
  <c r="R76" i="6"/>
  <c r="E10" i="7" s="1"/>
  <c r="R64" i="6"/>
  <c r="G9" i="7" s="1"/>
  <c r="R62" i="6"/>
  <c r="E9" i="7" s="1"/>
  <c r="R75" i="6"/>
  <c r="D10" i="7" s="1"/>
  <c r="R69" i="6"/>
  <c r="L9" i="7" s="1"/>
  <c r="R68" i="6"/>
  <c r="K9" i="7" s="1"/>
  <c r="R61" i="6"/>
  <c r="D9" i="7" s="1"/>
  <c r="R74" i="6"/>
  <c r="C10" i="7" s="1"/>
  <c r="R67" i="6"/>
  <c r="J9" i="7" s="1"/>
  <c r="R66" i="6"/>
  <c r="I9" i="7" s="1"/>
  <c r="R65" i="6"/>
  <c r="H9" i="7" s="1"/>
  <c r="R63" i="6"/>
  <c r="F9" i="7" s="1"/>
  <c r="R60" i="6"/>
  <c r="C9" i="7" s="1"/>
  <c r="R56" i="6"/>
  <c r="M8" i="7" s="1"/>
  <c r="R52" i="6"/>
  <c r="I8" i="7" s="1"/>
  <c r="R53" i="6"/>
  <c r="J8" i="7" s="1"/>
  <c r="R55" i="6"/>
  <c r="L8" i="7" s="1"/>
  <c r="R54" i="6"/>
  <c r="K8" i="7" s="1"/>
  <c r="R51" i="6"/>
  <c r="H8" i="7" s="1"/>
  <c r="R48" i="6"/>
  <c r="E8" i="7" s="1"/>
  <c r="R50" i="6"/>
  <c r="G8" i="7" s="1"/>
  <c r="R49" i="6"/>
  <c r="F8" i="7" s="1"/>
  <c r="R41" i="6"/>
  <c r="L7" i="7" s="1"/>
  <c r="R40" i="6"/>
  <c r="K7" i="7" s="1"/>
  <c r="R42" i="6"/>
  <c r="M7" i="7" s="1"/>
  <c r="R47" i="6"/>
  <c r="D8" i="7" s="1"/>
  <c r="R46" i="6"/>
  <c r="C8" i="7" s="1"/>
  <c r="R37" i="6"/>
  <c r="H7" i="7" s="1"/>
  <c r="R39" i="6"/>
  <c r="J7" i="7" s="1"/>
  <c r="R38" i="6"/>
  <c r="I7" i="7" s="1"/>
  <c r="R36" i="6"/>
  <c r="G7" i="7" s="1"/>
  <c r="R35" i="6"/>
  <c r="F7" i="7" s="1"/>
  <c r="R34" i="6"/>
  <c r="E7" i="7" s="1"/>
  <c r="R33" i="6"/>
  <c r="D7" i="7" s="1"/>
  <c r="R32" i="6"/>
  <c r="C7" i="7" s="1"/>
  <c r="R26" i="6"/>
  <c r="K6" i="7" s="1"/>
  <c r="R28" i="6"/>
  <c r="M6" i="7" s="1"/>
  <c r="R27" i="6"/>
  <c r="L6" i="7" s="1"/>
  <c r="R21" i="6"/>
  <c r="F6" i="7" s="1"/>
  <c r="R25" i="6"/>
  <c r="J6" i="7" s="1"/>
  <c r="R24" i="6"/>
  <c r="I6" i="7" s="1"/>
  <c r="R23" i="6"/>
  <c r="H6" i="7" s="1"/>
  <c r="R22" i="6"/>
  <c r="G6" i="7" s="1"/>
  <c r="R19" i="6"/>
  <c r="D6" i="7" s="1"/>
  <c r="R20" i="6"/>
  <c r="E6" i="7" s="1"/>
  <c r="R18" i="6"/>
  <c r="C6" i="7" s="1"/>
  <c r="F37" i="5"/>
  <c r="O38" i="5" s="1"/>
  <c r="G36" i="5"/>
  <c r="C11" i="5"/>
  <c r="C12" i="5" s="1"/>
  <c r="H39" i="5" l="1"/>
  <c r="P39" i="5"/>
  <c r="I13" i="6"/>
  <c r="U9" i="6" s="1"/>
  <c r="I6" i="6"/>
  <c r="U2" i="6" s="1"/>
  <c r="H17" i="6"/>
  <c r="F17" i="6"/>
  <c r="I16" i="6"/>
  <c r="U12" i="6" s="1"/>
  <c r="I15" i="6"/>
  <c r="U11" i="6" s="1"/>
  <c r="I12" i="6"/>
  <c r="U8" i="6" s="1"/>
  <c r="I14" i="6"/>
  <c r="U10" i="6" s="1"/>
  <c r="I10" i="6"/>
  <c r="U6" i="6" s="1"/>
  <c r="I11" i="6"/>
  <c r="U7" i="6" s="1"/>
  <c r="I8" i="6"/>
  <c r="U4" i="6" s="1"/>
  <c r="I7" i="6"/>
  <c r="U3" i="6" s="1"/>
  <c r="I9" i="6"/>
  <c r="U5" i="6" s="1"/>
  <c r="F38" i="5"/>
  <c r="O39" i="5" s="1"/>
  <c r="G37" i="5"/>
  <c r="H40" i="5" l="1"/>
  <c r="P40" i="5"/>
  <c r="I17" i="6"/>
  <c r="F39" i="5"/>
  <c r="G38" i="5"/>
  <c r="H41" i="5" l="1"/>
  <c r="P41" i="5"/>
  <c r="F40" i="5"/>
  <c r="O41" i="5" s="1"/>
  <c r="O40" i="5"/>
  <c r="G39" i="5"/>
  <c r="H42" i="5" l="1"/>
  <c r="P42" i="5"/>
  <c r="F41" i="5"/>
  <c r="O42" i="5" s="1"/>
  <c r="G40" i="5"/>
  <c r="H43" i="5" l="1"/>
  <c r="P43" i="5"/>
  <c r="F42" i="5"/>
  <c r="O43" i="5" s="1"/>
  <c r="G41" i="5"/>
  <c r="H44" i="5" l="1"/>
  <c r="P44" i="5"/>
  <c r="F43" i="5"/>
  <c r="O44" i="5" s="1"/>
  <c r="G42" i="5"/>
  <c r="H45" i="5" l="1"/>
  <c r="P45" i="5"/>
  <c r="F44" i="5"/>
  <c r="O45" i="5" s="1"/>
  <c r="G43" i="5"/>
  <c r="H46" i="5" l="1"/>
  <c r="P46" i="5"/>
  <c r="F45" i="5"/>
  <c r="O46" i="5" s="1"/>
  <c r="G44" i="5"/>
  <c r="H47" i="5" l="1"/>
  <c r="P48" i="5" s="1"/>
  <c r="P47" i="5"/>
  <c r="F46" i="5"/>
  <c r="O47" i="5" s="1"/>
  <c r="G45" i="5"/>
  <c r="F47" i="5" l="1"/>
  <c r="G46" i="5"/>
  <c r="G47" i="5" l="1"/>
  <c r="C14" i="5" s="1"/>
  <c r="O4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<sst xmlns="http://schemas.openxmlformats.org/spreadsheetml/2006/main" count="402" uniqueCount="84">
  <si>
    <t>date</t>
  </si>
  <si>
    <t>Information Technology</t>
  </si>
  <si>
    <t>Health Care</t>
  </si>
  <si>
    <t>Financials</t>
  </si>
  <si>
    <t>Consumer Discretionary</t>
  </si>
  <si>
    <t>Industrials</t>
  </si>
  <si>
    <t>Communication Services</t>
  </si>
  <si>
    <t>Consumer Staples</t>
  </si>
  <si>
    <t>Energy</t>
  </si>
  <si>
    <t>Materials</t>
  </si>
  <si>
    <t>Utilities</t>
  </si>
  <si>
    <t>Real Estate</t>
  </si>
  <si>
    <t>sector</t>
  </si>
  <si>
    <t>fund_weight</t>
  </si>
  <si>
    <t>benchmark_weight</t>
  </si>
  <si>
    <t>aum_start_mm</t>
  </si>
  <si>
    <t>net_flows_mm</t>
  </si>
  <si>
    <t>market_return_pct</t>
  </si>
  <si>
    <t>aum_end_mm</t>
  </si>
  <si>
    <t>BlackRock Systematic Global Equity Fund</t>
  </si>
  <si>
    <t>Performance Report | Jul 2025 - Jun 2026</t>
  </si>
  <si>
    <t>Benchmark: MSCI World Index</t>
  </si>
  <si>
    <t>Month</t>
  </si>
  <si>
    <t>Fund Return</t>
  </si>
  <si>
    <t>Bench Return</t>
  </si>
  <si>
    <t>Active Return</t>
  </si>
  <si>
    <t>Cum Fund (for DD)</t>
  </si>
  <si>
    <t>KEY PERFORMANCE METRICS</t>
  </si>
  <si>
    <t>Cumulative Fund Return</t>
  </si>
  <si>
    <t>Cumulative Benchmark Return</t>
  </si>
  <si>
    <t>Cumulative Active Return</t>
  </si>
  <si>
    <t>Annualized Fund Volatility</t>
  </si>
  <si>
    <t>Tracking Error</t>
  </si>
  <si>
    <t>Information Ratio</t>
  </si>
  <si>
    <t>Sharpe Ratio</t>
  </si>
  <si>
    <t>Max Drawdown</t>
  </si>
  <si>
    <t>Best Month</t>
  </si>
  <si>
    <t>Worst Month</t>
  </si>
  <si>
    <t>Benchmark Return</t>
  </si>
  <si>
    <t>← Helper calculations (formula source for Summary metrics)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</si>
  <si>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</si>
  <si>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</si>
  <si>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</si>
  <si>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</si>
  <si>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</si>
  <si>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</si>
  <si>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</si>
  <si>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</si>
  <si>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</si>
  <si>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</si>
  <si>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</si>
  <si>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</si>
  <si>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HELPER — Sector Alphas &amp; BHB Monthly Calcs</t>
  </si>
  <si>
    <t>Sector</t>
  </si>
  <si>
    <t>Alpha</t>
  </si>
  <si>
    <t>Fund Wt</t>
  </si>
  <si>
    <t>BM Wt</t>
  </si>
  <si>
    <t>Sector Ret</t>
  </si>
  <si>
    <t>BM Total Ret</t>
  </si>
  <si>
    <t>Alloc Effect</t>
  </si>
  <si>
    <t>Sel Effect</t>
  </si>
  <si>
    <t>Inter Effect</t>
  </si>
  <si>
    <t>Total Effect</t>
  </si>
  <si>
    <t>Sector Attribution Analysis</t>
  </si>
  <si>
    <t>Brinson-Hood-Beebower Decomposition (Full Period Aggregate)</t>
  </si>
  <si>
    <t>Avg Fund Wt</t>
  </si>
  <si>
    <t>Avg BM Wt</t>
  </si>
  <si>
    <t>Active Wt</t>
  </si>
  <si>
    <t>Allocation Effect</t>
  </si>
  <si>
    <t>Selection Effect</t>
  </si>
  <si>
    <t>Interaction Effect</t>
  </si>
  <si>
    <t>TOTAL</t>
  </si>
  <si>
    <t>↑ Sector alphas (hardcoded inputs referenced by monthly BHB grids below)</t>
  </si>
  <si>
    <t>Monthly Sector Attribution Detail</t>
  </si>
  <si>
    <t>Total Effect by Sector per Month</t>
  </si>
  <si>
    <t>Assets Under Management &amp; Net Flows ($M)</t>
  </si>
  <si>
    <t>AUM Start ($M)</t>
  </si>
  <si>
    <t>Net Flows ($M)</t>
  </si>
  <si>
    <t>Flow Direction</t>
  </si>
  <si>
    <t>Cumulative Net Flows ($M)</t>
  </si>
  <si>
    <t>Market Return</t>
  </si>
  <si>
    <t>AUM End ($M)</t>
  </si>
  <si>
    <t>w</t>
  </si>
  <si>
    <t>TOTAL /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</si>
</sst>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%"/>
    <numFmt numFmtId="170" formatCode="mmm\ yyyy"/>
    <numFmt numFmtId="171" formatCode="#,##0.0"/>
    <numFmt numFmtId="172" formatCode="#,##0.0;\(#,##0.0\);\-"/>
  </numFmts>
  <fonts count="2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888888"/>
      <name val="Aptos Narrow"/>
      <family val="2"/>
      <scheme val="minor"/>
    </font>
    <font>
      <b/>
      <sz val="9"/>
      <color rgb="FF88888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88888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1A1A2E"/>
      <name val="Aptos Narrow"/>
      <family val="2"/>
      <scheme val="minor"/>
    </font>
    <font>
      <sz val="10"/>
      <color rgb="FF333333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8"/>
      <color rgb="FFAAAAAA"/>
      <name val="Aptos Narrow"/>
      <family val="2"/>
      <scheme val="minor"/>
    </font>
    <font>
      <b/>
      <sz val="8"/>
      <color rgb="FF88888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555555"/>
      <name val="Aptos Narrow"/>
      <family val="2"/>
      <scheme val="minor"/>
    </font>
    <font>
      <b/>
      <sz val="8"/>
      <color rgb="FF1A1A2E"/>
      <name val="Aptos Narrow"/>
      <family val="2"/>
      <scheme val="minor"/>
    </font>
    <font>
      <b/>
      <sz val="7"/>
      <color rgb="FF888888"/>
      <name val="Aptos Narrow"/>
      <family val="2"/>
      <scheme val="minor"/>
    </font>
    <font>
      <i/>
      <sz val="7"/>
      <color rgb="FFAAAAAA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AAAAAA"/>
      <name val="Aptos Narrow"/>
      <family val="2"/>
      <scheme val="minor"/>
    </font>
    <font>
      <b/>
      <sz val="8"/>
      <color rgb="FF999999"/>
      <name val="Aptos Narrow"/>
      <family val="2"/>
      <scheme val="minor"/>
    </font>
    <font>
      <sz val="8"/>
      <color rgb="FF99999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</fills>
  <borders count="21">
    <border>
      <left/>
      <right/>
      <top/>
      <bottom/>
      <diagonal/>
    </border>
    <border>
      <left style="thin">
        <color rgb="FFAAAAAA"/>
      </left>
      <right style="hair">
        <color rgb="FFDDDDDD"/>
      </right>
      <top style="hair">
        <color rgb="FFDDDDDD"/>
      </top>
      <bottom style="hair">
        <color rgb="FFDDDDDD"/>
      </bottom>
      <diagonal/>
    </border>
    <border>
      <left style="hair">
        <color rgb="FFDDDDDD"/>
      </left>
      <right style="thin">
        <color rgb="FFAAAAAA"/>
      </right>
      <top style="hair">
        <color rgb="FFDDDDDD"/>
      </top>
      <bottom style="hair">
        <color rgb="FFDDDDDD"/>
      </bottom>
      <diagonal/>
    </border>
    <border>
      <left/>
      <right/>
      <top/>
      <bottom style="medium">
        <color rgb="FF1A1A2E"/>
      </bottom>
      <diagonal/>
    </border>
    <border>
      <left style="medium">
        <color rgb="FF1A1A2E"/>
      </left>
      <right style="hair">
        <color rgb="FFDDDDDD"/>
      </right>
      <top style="medium">
        <color rgb="FF1A1A2E"/>
      </top>
      <bottom style="hair">
        <color rgb="FFDDDDDD"/>
      </bottom>
      <diagonal/>
    </border>
    <border>
      <left style="hair">
        <color rgb="FFDDDDDD"/>
      </left>
      <right style="hair">
        <color rgb="FFDDDDDD"/>
      </right>
      <top style="medium">
        <color rgb="FF1A1A2E"/>
      </top>
      <bottom style="hair">
        <color rgb="FFDDDDDD"/>
      </bottom>
      <diagonal/>
    </border>
    <border>
      <left style="hair">
        <color rgb="FFDDDDDD"/>
      </left>
      <right style="medium">
        <color rgb="FF1A1A2E"/>
      </right>
      <top style="medium">
        <color rgb="FF1A1A2E"/>
      </top>
      <bottom style="hair">
        <color rgb="FFDDDDDD"/>
      </bottom>
      <diagonal/>
    </border>
    <border>
      <left style="medium">
        <color rgb="FF1A1A2E"/>
      </left>
      <right style="hair">
        <color rgb="FFDDDDDD"/>
      </right>
      <top style="hair">
        <color rgb="FFDDDDDD"/>
      </top>
      <bottom style="hair">
        <color rgb="FFDDDDDD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  <border>
      <left style="hair">
        <color rgb="FFDDDDDD"/>
      </left>
      <right style="medium">
        <color rgb="FF1A1A2E"/>
      </right>
      <top style="hair">
        <color rgb="FFDDDDDD"/>
      </top>
      <bottom style="hair">
        <color rgb="FFDDDDDD"/>
      </bottom>
      <diagonal/>
    </border>
    <border>
      <left style="medium">
        <color rgb="FF1A1A2E"/>
      </left>
      <right style="hair">
        <color rgb="FFDDDDDD"/>
      </right>
      <top style="hair">
        <color rgb="FFDDDDDD"/>
      </top>
      <bottom style="medium">
        <color rgb="FF1A1A2E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medium">
        <color rgb="FF1A1A2E"/>
      </bottom>
      <diagonal/>
    </border>
    <border>
      <left style="hair">
        <color rgb="FFDDDDDD"/>
      </left>
      <right style="medium">
        <color rgb="FF1A1A2E"/>
      </right>
      <top style="hair">
        <color rgb="FFDDDDDD"/>
      </top>
      <bottom style="medium">
        <color rgb="FF1A1A2E"/>
      </bottom>
      <diagonal/>
    </border>
    <border>
      <left style="thin">
        <color rgb="FFAAAAAA"/>
      </left>
      <right style="hair">
        <color rgb="FFDDDDDD"/>
      </right>
      <top/>
      <bottom style="hair">
        <color rgb="FFDDDDDD"/>
      </bottom>
      <diagonal/>
    </border>
    <border>
      <left style="hair">
        <color rgb="FFDDDDDD"/>
      </left>
      <right style="thin">
        <color rgb="FFAAAAAA"/>
      </right>
      <top/>
      <bottom style="hair">
        <color rgb="FFDDDDDD"/>
      </bottom>
      <diagonal/>
    </border>
    <border>
      <left style="thin">
        <color rgb="FFAAAAAA"/>
      </left>
      <right style="hair">
        <color rgb="FFDDDDDD"/>
      </right>
      <top style="hair">
        <color rgb="FFDDDDDD"/>
      </top>
      <bottom/>
      <diagonal/>
    </border>
    <border>
      <left style="hair">
        <color rgb="FFDDDDDD"/>
      </left>
      <right style="thin">
        <color rgb="FFAAAAAA"/>
      </right>
      <top style="hair">
        <color rgb="FFDDDDDD"/>
      </top>
      <bottom/>
      <diagonal/>
    </border>
    <border>
      <left style="medium">
        <color rgb="FF1A1A2E"/>
      </left>
      <right style="hair">
        <color rgb="FFDDDDDD"/>
      </right>
      <top/>
      <bottom style="hair">
        <color rgb="FFDDDDDD"/>
      </bottom>
      <diagonal/>
    </border>
    <border>
      <left style="hair">
        <color rgb="FFDDDDDD"/>
      </left>
      <right style="hair">
        <color rgb="FFDDDDDD"/>
      </right>
      <top/>
      <bottom style="hair">
        <color rgb="FFDDDDDD"/>
      </bottom>
      <diagonal/>
    </border>
    <border>
      <left style="hair">
        <color rgb="FFDDDDDD"/>
      </left>
      <right style="medium">
        <color rgb="FF1A1A2E"/>
      </right>
      <top/>
      <bottom style="hair">
        <color rgb="FFDDDDDD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6">
    <xf numFmtId="0" fontId="0" fillId="0" borderId="0" xfId="0"/>
    <xf numFmtId="14" fontId="0" fillId="0" borderId="0" xfId="0" applyNumberFormat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17" fontId="7" fillId="0" borderId="0" xfId="0" applyNumberFormat="1" applyFont="1"/>
    <xf numFmtId="10" fontId="0" fillId="0" borderId="0" xfId="0" applyNumberFormat="1"/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10" fontId="3" fillId="3" borderId="8" xfId="0" applyNumberFormat="1" applyFont="1" applyFill="1" applyBorder="1" applyAlignment="1">
      <alignment horizontal="center"/>
    </xf>
    <xf numFmtId="10" fontId="3" fillId="3" borderId="9" xfId="0" applyNumberFormat="1" applyFont="1" applyFill="1" applyBorder="1" applyAlignment="1">
      <alignment horizontal="center"/>
    </xf>
    <xf numFmtId="10" fontId="3" fillId="0" borderId="8" xfId="0" applyNumberFormat="1" applyFont="1" applyBorder="1" applyAlignment="1">
      <alignment horizontal="center"/>
    </xf>
    <xf numFmtId="10" fontId="3" fillId="0" borderId="9" xfId="0" applyNumberFormat="1" applyFont="1" applyBorder="1" applyAlignment="1">
      <alignment horizontal="center"/>
    </xf>
    <xf numFmtId="10" fontId="3" fillId="0" borderId="11" xfId="0" applyNumberFormat="1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10" fillId="4" borderId="1" xfId="0" applyFont="1" applyFill="1" applyBorder="1"/>
    <xf numFmtId="10" fontId="8" fillId="5" borderId="2" xfId="0" applyNumberFormat="1" applyFont="1" applyFill="1" applyBorder="1" applyAlignment="1">
      <alignment horizontal="right"/>
    </xf>
    <xf numFmtId="2" fontId="8" fillId="5" borderId="2" xfId="0" applyNumberFormat="1" applyFont="1" applyFill="1" applyBorder="1" applyAlignment="1">
      <alignment horizontal="right"/>
    </xf>
    <xf numFmtId="0" fontId="10" fillId="4" borderId="13" xfId="0" applyFont="1" applyFill="1" applyBorder="1"/>
    <xf numFmtId="10" fontId="8" fillId="5" borderId="14" xfId="0" applyNumberFormat="1" applyFont="1" applyFill="1" applyBorder="1" applyAlignment="1">
      <alignment horizontal="right"/>
    </xf>
    <xf numFmtId="0" fontId="9" fillId="0" borderId="3" xfId="0" applyFont="1" applyBorder="1"/>
    <xf numFmtId="0" fontId="0" fillId="0" borderId="3" xfId="0" applyBorder="1"/>
    <xf numFmtId="0" fontId="10" fillId="4" borderId="15" xfId="0" applyFont="1" applyFill="1" applyBorder="1"/>
    <xf numFmtId="10" fontId="8" fillId="5" borderId="16" xfId="0" applyNumberFormat="1" applyFont="1" applyFill="1" applyBorder="1" applyAlignment="1">
      <alignment horizontal="right"/>
    </xf>
    <xf numFmtId="0" fontId="12" fillId="2" borderId="17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12" fillId="2" borderId="19" xfId="0" applyFont="1" applyFill="1" applyBorder="1" applyAlignment="1">
      <alignment horizontal="center"/>
    </xf>
    <xf numFmtId="0" fontId="13" fillId="0" borderId="0" xfId="0" applyFont="1"/>
    <xf numFmtId="49" fontId="3" fillId="3" borderId="7" xfId="0" applyNumberFormat="1" applyFont="1" applyFill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49" fontId="3" fillId="0" borderId="10" xfId="0" applyNumberFormat="1" applyFont="1" applyBorder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165" fontId="17" fillId="0" borderId="0" xfId="0" applyNumberFormat="1" applyFont="1"/>
    <xf numFmtId="17" fontId="18" fillId="0" borderId="0" xfId="0" applyNumberFormat="1" applyFont="1"/>
    <xf numFmtId="0" fontId="19" fillId="0" borderId="0" xfId="0" applyFont="1"/>
    <xf numFmtId="0" fontId="12" fillId="2" borderId="10" xfId="0" applyFont="1" applyFill="1" applyBorder="1"/>
    <xf numFmtId="0" fontId="11" fillId="2" borderId="11" xfId="0" applyFont="1" applyFill="1" applyBorder="1" applyAlignment="1">
      <alignment horizontal="center"/>
    </xf>
    <xf numFmtId="10" fontId="12" fillId="2" borderId="11" xfId="0" applyNumberFormat="1" applyFont="1" applyFill="1" applyBorder="1" applyAlignment="1">
      <alignment horizontal="center"/>
    </xf>
    <xf numFmtId="10" fontId="12" fillId="2" borderId="12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2" fillId="2" borderId="10" xfId="0" applyFont="1" applyFill="1" applyBorder="1" applyAlignment="1">
      <alignment horizontal="left"/>
    </xf>
    <xf numFmtId="0" fontId="12" fillId="2" borderId="17" xfId="0" applyFont="1" applyFill="1" applyBorder="1" applyAlignment="1">
      <alignment horizontal="left"/>
    </xf>
    <xf numFmtId="0" fontId="0" fillId="0" borderId="20" xfId="0" applyBorder="1"/>
    <xf numFmtId="0" fontId="20" fillId="0" borderId="0" xfId="0" applyFont="1"/>
    <xf numFmtId="10" fontId="6" fillId="6" borderId="8" xfId="0" applyNumberFormat="1" applyFont="1" applyFill="1" applyBorder="1" applyAlignment="1">
      <alignment horizontal="center"/>
    </xf>
    <xf numFmtId="10" fontId="6" fillId="6" borderId="9" xfId="0" applyNumberFormat="1" applyFont="1" applyFill="1" applyBorder="1" applyAlignment="1">
      <alignment horizontal="center"/>
    </xf>
    <xf numFmtId="10" fontId="6" fillId="5" borderId="8" xfId="0" applyNumberFormat="1" applyFont="1" applyFill="1" applyBorder="1" applyAlignment="1">
      <alignment horizontal="center"/>
    </xf>
    <xf numFmtId="10" fontId="6" fillId="5" borderId="9" xfId="0" applyNumberFormat="1" applyFont="1" applyFill="1" applyBorder="1" applyAlignment="1">
      <alignment horizontal="center"/>
    </xf>
    <xf numFmtId="10" fontId="6" fillId="5" borderId="11" xfId="0" applyNumberFormat="1" applyFont="1" applyFill="1" applyBorder="1" applyAlignment="1">
      <alignment horizontal="center"/>
    </xf>
    <xf numFmtId="10" fontId="6" fillId="5" borderId="12" xfId="0" applyNumberFormat="1" applyFont="1" applyFill="1" applyBorder="1" applyAlignment="1">
      <alignment horizontal="center"/>
    </xf>
    <xf numFmtId="49" fontId="10" fillId="6" borderId="7" xfId="0" applyNumberFormat="1" applyFont="1" applyFill="1" applyBorder="1" applyAlignment="1">
      <alignment horizontal="left"/>
    </xf>
    <xf numFmtId="49" fontId="10" fillId="5" borderId="7" xfId="0" applyNumberFormat="1" applyFont="1" applyFill="1" applyBorder="1" applyAlignment="1">
      <alignment horizontal="left"/>
    </xf>
    <xf numFmtId="49" fontId="10" fillId="5" borderId="10" xfId="0" applyNumberFormat="1" applyFont="1" applyFill="1" applyBorder="1" applyAlignment="1">
      <alignment horizontal="left"/>
    </xf>
    <xf numFmtId="0" fontId="21" fillId="2" borderId="17" xfId="0" applyFont="1" applyFill="1" applyBorder="1" applyAlignment="1">
      <alignment horizontal="left" wrapText="1"/>
    </xf>
    <xf numFmtId="0" fontId="21" fillId="2" borderId="18" xfId="0" applyFont="1" applyFill="1" applyBorder="1" applyAlignment="1">
      <alignment horizontal="center" wrapText="1"/>
    </xf>
    <xf numFmtId="0" fontId="21" fillId="2" borderId="19" xfId="0" applyFont="1" applyFill="1" applyBorder="1" applyAlignment="1">
      <alignment horizontal="center" wrapText="1"/>
    </xf>
    <xf numFmtId="170" fontId="3" fillId="3" borderId="7" xfId="0" applyNumberFormat="1" applyFont="1" applyFill="1" applyBorder="1" applyAlignment="1">
      <alignment horizontal="left"/>
    </xf>
    <xf numFmtId="171" fontId="3" fillId="3" borderId="8" xfId="0" applyNumberFormat="1" applyFont="1" applyFill="1" applyBorder="1" applyAlignment="1">
      <alignment horizontal="right"/>
    </xf>
    <xf numFmtId="172" fontId="3" fillId="3" borderId="8" xfId="0" applyNumberFormat="1" applyFont="1" applyFill="1" applyBorder="1" applyAlignment="1">
      <alignment horizontal="right"/>
    </xf>
    <xf numFmtId="0" fontId="3" fillId="3" borderId="8" xfId="0" applyFont="1" applyFill="1" applyBorder="1" applyAlignment="1">
      <alignment horizontal="center"/>
    </xf>
    <xf numFmtId="10" fontId="3" fillId="3" borderId="8" xfId="0" applyNumberFormat="1" applyFont="1" applyFill="1" applyBorder="1" applyAlignment="1">
      <alignment horizontal="right"/>
    </xf>
    <xf numFmtId="171" fontId="3" fillId="3" borderId="9" xfId="0" applyNumberFormat="1" applyFont="1" applyFill="1" applyBorder="1" applyAlignment="1">
      <alignment horizontal="right"/>
    </xf>
    <xf numFmtId="170" fontId="3" fillId="5" borderId="7" xfId="0" applyNumberFormat="1" applyFont="1" applyFill="1" applyBorder="1" applyAlignment="1">
      <alignment horizontal="left"/>
    </xf>
    <xf numFmtId="171" fontId="3" fillId="5" borderId="8" xfId="0" applyNumberFormat="1" applyFont="1" applyFill="1" applyBorder="1" applyAlignment="1">
      <alignment horizontal="right"/>
    </xf>
    <xf numFmtId="172" fontId="3" fillId="5" borderId="8" xfId="0" applyNumberFormat="1" applyFont="1" applyFill="1" applyBorder="1" applyAlignment="1">
      <alignment horizontal="right"/>
    </xf>
    <xf numFmtId="0" fontId="3" fillId="5" borderId="8" xfId="0" applyFont="1" applyFill="1" applyBorder="1" applyAlignment="1">
      <alignment horizontal="center"/>
    </xf>
    <xf numFmtId="10" fontId="3" fillId="5" borderId="8" xfId="0" applyNumberFormat="1" applyFont="1" applyFill="1" applyBorder="1" applyAlignment="1">
      <alignment horizontal="right"/>
    </xf>
    <xf numFmtId="171" fontId="3" fillId="5" borderId="9" xfId="0" applyNumberFormat="1" applyFont="1" applyFill="1" applyBorder="1" applyAlignment="1">
      <alignment horizontal="right"/>
    </xf>
    <xf numFmtId="0" fontId="0" fillId="2" borderId="11" xfId="0" applyFill="1" applyBorder="1"/>
    <xf numFmtId="172" fontId="12" fillId="2" borderId="11" xfId="0" applyNumberFormat="1" applyFont="1" applyFill="1" applyBorder="1" applyAlignment="1">
      <alignment horizontal="right"/>
    </xf>
    <xf numFmtId="171" fontId="12" fillId="2" borderId="12" xfId="0" applyNumberFormat="1" applyFont="1" applyFill="1" applyBorder="1" applyAlignment="1">
      <alignment horizontal="right"/>
    </xf>
    <xf numFmtId="165" fontId="22" fillId="0" borderId="0" xfId="0" applyNumberFormat="1" applyFont="1"/>
    <xf numFmtId="49" fontId="16" fillId="0" borderId="0" xfId="0" applyNumberFormat="1" applyFont="1"/>
    <xf numFmtId="10" fontId="16" fillId="0" borderId="0" xfId="0" applyNumberFormat="1" applyFont="1"/>
    <xf numFmtId="0" fontId="23" fillId="0" borderId="0" xfId="0" applyFont="1"/>
    <xf numFmtId="49" fontId="24" fillId="0" borderId="0" xfId="0" applyNumberFormat="1" applyFont="1"/>
    <xf numFmtId="10" fontId="24" fillId="0" borderId="0" xfId="0" applyNumberFormat="1" applyFont="1"/>
    <xf numFmtId="171" fontId="24" fillId="0" borderId="0" xfId="0" applyNumberFormat="1" applyFont="1"/>
  </cellXfs>
  <cellStyles count="1">
    <cellStyle name="Normal" xfId="0" builtinId="0"/>
  </cellStyles>
  <dxfs count="12">
    <dxf>
      <font>
        <color rgb="FFB71C1C"/>
      </font>
    </dxf>
    <dxf>
      <font>
        <color rgb="FF1B5E20"/>
      </font>
    </dxf>
    <dxf>
      <font>
        <color rgb="FFB71C1C"/>
      </font>
    </dxf>
    <dxf>
      <font>
        <color rgb="FF1B5E20"/>
      </font>
    </dxf>
    <dxf>
      <font>
        <color rgb="FFD32F2F"/>
      </font>
    </dxf>
    <dxf>
      <font>
        <color rgb="FF388E3C"/>
      </font>
    </dxf>
    <dxf>
      <font>
        <color rgb="FFB71C1C"/>
      </font>
      <fill>
        <patternFill patternType="solid">
          <fgColor indexed="64"/>
          <bgColor rgb="FFFFEBEE"/>
        </patternFill>
      </fill>
    </dxf>
    <dxf>
      <font>
        <color rgb="FF1B5E20"/>
      </font>
      <fill>
        <patternFill patternType="solid">
          <fgColor indexed="64"/>
          <bgColor rgb="FFE8F5E9"/>
        </patternFill>
      </fill>
    </dxf>
    <dxf>
      <font>
        <color rgb="FF721C24"/>
      </font>
      <fill>
        <patternFill patternType="solid">
          <fgColor indexed="64"/>
          <bgColor rgb="FFF5C6CB"/>
        </patternFill>
      </fill>
    </dxf>
    <dxf>
      <font>
        <color rgb="FF155724"/>
      </font>
      <fill>
        <patternFill patternType="solid">
          <fgColor indexed="64"/>
          <bgColor rgb="FFC3E6CB"/>
        </patternFill>
      </fill>
    </dxf>
    <dxf>
      <font>
        <color rgb="FF721C24"/>
      </font>
      <fill>
        <patternFill patternType="solid">
          <fgColor indexed="64"/>
          <bgColor rgb="FFF8D7DA"/>
        </patternFill>
      </fill>
    </dxf>
    <dxf>
      <font>
        <color rgb="FF1E7E34"/>
      </font>
      <fill>
        <patternFill patternType="solid">
          <fgColor indexed="64"/>
          <bgColor rgb="FFD4ED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A1A2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Returns: Fund vs Benchmark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A1A2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Summary!$N$37:$N$48</c:f>
            </c:strRef>
          </c:cat>
          <c:val>
            <c:numRef>
              <c:f>Summary!$O$37:$O$48</c:f>
            </c:numRef>
          </c:val>
          <c:smooth val="0"/>
          <c:extLst>
            <c:ext xmlns:c16="http://schemas.microsoft.com/office/drawing/2014/chart" uri="{C3380CC4-5D6E-409C-BE32-E72D297353CC}">
              <c16:uniqueId val="{00000000-E05E-488F-B0B5-5146C1FFE088}"/>
            </c:ext>
          </c:extLst>
        </c:ser>
        <c:ser>
          <c:idx val="1"/>
          <c:order val="1"/>
          <c:tx>
            <c:v>Benchmark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Summary!$N$37:$N$48</c:f>
            </c:strRef>
          </c:cat>
          <c:val>
            <c:numRef>
              <c:f>Summary!$P$37:$P$48</c:f>
            </c:numRef>
          </c:val>
          <c:smooth val="0"/>
          <c:extLst>
            <c:ext xmlns:c16="http://schemas.microsoft.com/office/drawing/2014/chart" uri="{C3380CC4-5D6E-409C-BE32-E72D297353CC}">
              <c16:uniqueId val="{00000001-E05E-488F-B0B5-5146C1FFE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180768"/>
        <c:axId val="1062183648"/>
      </c:lineChart>
      <c:catAx>
        <c:axId val="106218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DDDD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5555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83648"/>
        <c:crosses val="autoZero"/>
        <c:auto val="1"/>
        <c:lblAlgn val="ctr"/>
        <c:lblOffset val="100"/>
        <c:noMultiLvlLbl val="0"/>
      </c:catAx>
      <c:valAx>
        <c:axId val="10621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EEEEE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66666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Cumulative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666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DDDDDD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5555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8076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A1A2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Sector Total Attribution Effect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A1A2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xMode val="edge"/>
          <c:yMode val="edge"/>
          <c:x val="1.3198901310983471E-2"/>
          <c:y val="0.11236974789915967"/>
          <c:w val="0.98680109868901655"/>
          <c:h val="0.85065546218487398"/>
        </c:manualLayout>
      </c:layout>
      <c:barChart>
        <c:barDir val="bar"/>
        <c:grouping val="clustered"/>
        <c:varyColors val="0"/>
        <c:ser>
          <c:idx val="0"/>
          <c:order val="0"/>
          <c:tx>
            <c:v>Total Effect</c:v>
          </c:tx>
          <c:spPr>
            <a:solidFill>
              <a:srgbClr val="1A1A2E"/>
            </a:solidFill>
            <a:ln>
              <a:noFill/>
            </a:ln>
            <a:effectLst/>
          </c:spPr>
          <c:invertIfNegative val="0"/>
          <c:cat>
            <c:strRef>
              <c:f>'Sector Attribution'!$T$2:$T$12</c:f>
              <c:strCache>
                <c:ptCount val="11"/>
                <c:pt idx="0">
                  <c:v>Consumer Staples</c:v>
                </c:pt>
                <c:pt idx="1">
                  <c:v>Financials</c:v>
                </c:pt>
                <c:pt idx="2">
                  <c:v>Consumer Discretionary</c:v>
                </c:pt>
                <c:pt idx="3">
                  <c:v>Information Technology</c:v>
                </c:pt>
                <c:pt idx="4">
                  <c:v>Communication Services</c:v>
                </c:pt>
                <c:pt idx="5">
                  <c:v>Health Care</c:v>
                </c:pt>
                <c:pt idx="6">
                  <c:v>Real Estate</c:v>
                </c:pt>
                <c:pt idx="7">
                  <c:v>Utilities</c:v>
                </c:pt>
                <c:pt idx="8">
                  <c:v>Energy</c:v>
                </c:pt>
                <c:pt idx="9">
                  <c:v>Materials</c:v>
                </c:pt>
                <c:pt idx="10">
                  <c:v>Industrials</c:v>
                </c:pt>
              </c:strCache>
            </c:strRef>
          </c:cat>
          <c:val>
            <c:numRef>
              <c:f>'Sector Attribution'!$U$2:$U$12</c:f>
              <c:numCache>
                <c:formatCode>0.00%</c:formatCode>
                <c:ptCount val="11"/>
                <c:pt idx="0">
                  <c:v>2.7677510608578757E-3</c:v>
                </c:pt>
                <c:pt idx="1">
                  <c:v>2.0676331803156601E-3</c:v>
                </c:pt>
                <c:pt idx="2">
                  <c:v>2.0316350232844199E-3</c:v>
                </c:pt>
                <c:pt idx="3">
                  <c:v>9.145847058657276E-4</c:v>
                </c:pt>
                <c:pt idx="4">
                  <c:v>7.0947571218809007E-4</c:v>
                </c:pt>
                <c:pt idx="5">
                  <c:v>5.0655077984674982E-4</c:v>
                </c:pt>
                <c:pt idx="6">
                  <c:v>2.3177190475369845E-4</c:v>
                </c:pt>
                <c:pt idx="7">
                  <c:v>-1.0233547779675988E-4</c:v>
                </c:pt>
                <c:pt idx="8">
                  <c:v>-6.7197676950694061E-4</c:v>
                </c:pt>
                <c:pt idx="9">
                  <c:v>-9.2029522093468451E-4</c:v>
                </c:pt>
                <c:pt idx="10">
                  <c:v>-1.5744273275950693E-3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8-45C6-9BD0-BD1973AA7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4790848"/>
        <c:axId val="1124787968"/>
      </c:barChart>
      <c:catAx>
        <c:axId val="1124790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rgbClr val="DDDDD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3333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87968"/>
        <c:crosses val="autoZero"/>
        <c:auto val="1"/>
        <c:lblAlgn val="ctr"/>
        <c:lblOffset val="100"/>
        <c:noMultiLvlLbl val="0"/>
      </c:catAx>
      <c:valAx>
        <c:axId val="1124787968"/>
        <c:scaling>
          <c:orientation val="minMax"/>
          <c:max val="3.0000000000000001E-3"/>
          <c:min val="-2E-3"/>
        </c:scaling>
        <c:delete val="0"/>
        <c:axPos val="t"/>
        <c:majorGridlines>
          <c:spPr>
            <a:ln w="9525" cap="flat" cmpd="sng" algn="ctr">
              <a:solidFill>
                <a:srgbClr val="EEEEEE"/>
              </a:solidFill>
              <a:prstDash val="solid"/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solidFill>
              <a:srgbClr val="DDDDDD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5555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90848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A1A2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AUM Trend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A1A2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AUM End ($M)</c:v>
          </c:tx>
          <c:spPr>
            <a:ln w="28575" cap="rnd">
              <a:solidFill>
                <a:srgbClr val="1565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1565C0"/>
                </a:solidFill>
                <a:prstDash val="solid"/>
              </a:ln>
              <a:effectLst/>
            </c:spPr>
          </c:marker>
          <c:cat>
            <c:strRef>
              <c:f>'AUM &amp; Flows'!$J$6:$J$17</c:f>
              <c:strCache>
                <c:ptCount val="12"/>
                <c:pt idx="0">
                  <c:v>Jul 2025</c:v>
                </c:pt>
                <c:pt idx="1">
                  <c:v>Aug 2025</c:v>
                </c:pt>
                <c:pt idx="2">
                  <c:v>Sep 2025</c:v>
                </c:pt>
                <c:pt idx="3">
                  <c:v>Oct 2025</c:v>
                </c:pt>
                <c:pt idx="4">
                  <c:v>Nov 2025</c:v>
                </c:pt>
                <c:pt idx="5">
                  <c:v>Dec 2025</c:v>
                </c:pt>
                <c:pt idx="6">
                  <c:v>Jan 2026</c:v>
                </c:pt>
                <c:pt idx="7">
                  <c:v>Feb 2026</c:v>
                </c:pt>
                <c:pt idx="8">
                  <c:v>Mar 2026</c:v>
                </c:pt>
                <c:pt idx="9">
                  <c:v>Apr 2026</c:v>
                </c:pt>
                <c:pt idx="10">
                  <c:v>May 2026</c:v>
                </c:pt>
                <c:pt idx="11">
                  <c:v>Jun 2026</c:v>
                </c:pt>
              </c:strCache>
            </c:strRef>
          </c:cat>
          <c:val>
            <c:numRef>
              <c:f>'AUM &amp; Flows'!$K$6:$K$17</c:f>
              <c:numCache>
                <c:formatCode>#,##0.0</c:formatCode>
                <c:ptCount val="12"/>
                <c:pt idx="0">
                  <c:v>2574.3000000000002</c:v>
                </c:pt>
                <c:pt idx="1">
                  <c:v>2543.1</c:v>
                </c:pt>
                <c:pt idx="2">
                  <c:v>2665.3</c:v>
                </c:pt>
                <c:pt idx="3">
                  <c:v>2765.6</c:v>
                </c:pt>
                <c:pt idx="4">
                  <c:v>2816.3</c:v>
                </c:pt>
                <c:pt idx="5">
                  <c:v>2881.9</c:v>
                </c:pt>
                <c:pt idx="6">
                  <c:v>2875</c:v>
                </c:pt>
                <c:pt idx="7">
                  <c:v>2917.7</c:v>
                </c:pt>
                <c:pt idx="8">
                  <c:v>2888.7</c:v>
                </c:pt>
                <c:pt idx="9">
                  <c:v>2769.5</c:v>
                </c:pt>
                <c:pt idx="10">
                  <c:v>2991.8</c:v>
                </c:pt>
                <c:pt idx="11">
                  <c:v>2968.3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E4-4F02-B610-053DBE2C5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0430176"/>
        <c:axId val="1070431136"/>
      </c:lineChart>
      <c:catAx>
        <c:axId val="107043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DDDDD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5555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431136"/>
        <c:crosses val="autoZero"/>
        <c:auto val="1"/>
        <c:lblAlgn val="ctr"/>
        <c:lblOffset val="100"/>
        <c:noMultiLvlLbl val="0"/>
      </c:catAx>
      <c:valAx>
        <c:axId val="1070431136"/>
        <c:scaling>
          <c:orientation val="minMax"/>
          <c:max val="3100"/>
          <c:min val="2400"/>
        </c:scaling>
        <c:delete val="0"/>
        <c:axPos val="l"/>
        <c:majorGridlines>
          <c:spPr>
            <a:ln w="9525" cap="flat" cmpd="sng" algn="ctr">
              <a:solidFill>
                <a:srgbClr val="EEEEEE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666666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AUM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66666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solidFill>
              <a:srgbClr val="DDDDDD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55555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430176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811802</xdr:colOff>
      <xdr:row>11</xdr:row>
      <xdr:rowOff>174315</xdr:rowOff>
    </xdr:from>
    <xdr:to>
      <xdr:col>19</xdr:col>
      <xdr:colOff>198716</xdr:colOff>
      <xdr:row>27</xdr:row>
      <xdr:rowOff>174315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9DB601-04C8-8C90-C723-401CD0BEF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8</xdr:col>
      <xdr:colOff>167568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84A55-9062-E7AA-0EF4-9A3A68EDB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255AF2-1EB5-A518-497D-0EC482370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191E2D-96C7-45C8-A1E8-0BEDE4A466B1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D0EA-B358-4C2E-9A27-526A5481149D}">
  <dimension ref="A1:L13"/>
  <sheetViews>
    <sheetView topLeftCell="G1" workbookViewId="0">
      <selection activeCell="L9" sqref="L9"/>
    </sheetView>
  </sheetViews>
  <sheetFormatPr defaultRowHeight="14.5" x14ac:dyDescent="0.35"/>
  <cols>
    <col min="1" max="1" width="10.08984375" bestFit="1" customWidth="1"/>
    <col min="2" max="2" width="20.6328125" bestFit="1" customWidth="1"/>
    <col min="3" max="3" width="10.6328125" bestFit="1" customWidth="1"/>
    <col min="4" max="4" width="9.54296875" bestFit="1" customWidth="1"/>
    <col min="5" max="5" width="21.26953125" bestFit="1" customWidth="1"/>
    <col min="6" max="6" width="9.81640625" bestFit="1" customWidth="1"/>
    <col min="7" max="7" width="22.08984375" bestFit="1" customWidth="1"/>
    <col min="8" max="8" width="16.1796875" bestFit="1" customWidth="1"/>
    <col min="9" max="11" width="8.54296875" bestFit="1" customWidth="1"/>
    <col min="12" max="12" width="10.0898437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3">
        <v>45839</v>
      </c>
      <c r="B2" s="4">
        <v>3.6888096469837379E-2</v>
      </c>
      <c r="C2" s="4">
        <v>1.2800626711878258E-2</v>
      </c>
      <c r="D2" s="4">
        <v>3.4832694632589346E-2</v>
      </c>
      <c r="E2" s="4">
        <v>4.0314645135908392E-2</v>
      </c>
      <c r="F2" s="4">
        <v>1.9678509669565976E-2</v>
      </c>
      <c r="G2" s="4">
        <v>2.7152045338250278E-2</v>
      </c>
      <c r="H2" s="4">
        <v>1.9446959204282958E-3</v>
      </c>
      <c r="I2" s="4">
        <v>3.1004115049695899E-2</v>
      </c>
      <c r="J2" s="4">
        <v>3.3019573934904595E-2</v>
      </c>
      <c r="K2" s="4">
        <v>3.1148350307108059E-2</v>
      </c>
      <c r="L2" s="4">
        <v>-3.4464968418511724E-4</v>
      </c>
    </row>
    <row r="3" spans="1:12" x14ac:dyDescent="0.35">
      <c r="A3" s="3">
        <v>45870</v>
      </c>
      <c r="B3" s="4">
        <v>-3.5425762747030458E-2</v>
      </c>
      <c r="C3" s="4">
        <v>4.3174655543770438E-3</v>
      </c>
      <c r="D3" s="4">
        <v>-3.647703172912764E-2</v>
      </c>
      <c r="E3" s="4">
        <v>-3.2297489563471539E-2</v>
      </c>
      <c r="F3" s="4">
        <v>-1.1202801824660978E-3</v>
      </c>
      <c r="G3" s="4">
        <v>3.3762301069432739E-2</v>
      </c>
      <c r="H3" s="4">
        <v>-8.430012702141533E-3</v>
      </c>
      <c r="I3" s="4">
        <v>7.4435906014351395E-3</v>
      </c>
      <c r="J3" s="4">
        <v>9.805096378292695E-4</v>
      </c>
      <c r="K3" s="4">
        <v>-1.6829563721660841E-2</v>
      </c>
      <c r="L3" s="4">
        <v>1.1323919577568092E-2</v>
      </c>
    </row>
    <row r="4" spans="1:12" x14ac:dyDescent="0.35">
      <c r="A4" s="3">
        <v>45901</v>
      </c>
      <c r="B4" s="4">
        <v>4.4953161023711871E-3</v>
      </c>
      <c r="C4" s="4">
        <v>5.8015387469774853E-3</v>
      </c>
      <c r="D4" s="4">
        <v>1.0734574698461858E-2</v>
      </c>
      <c r="E4" s="4">
        <v>4.7170729216729136E-2</v>
      </c>
      <c r="F4" s="4">
        <v>1.3476219120108514E-2</v>
      </c>
      <c r="G4" s="4">
        <v>-1.8487360557767195E-2</v>
      </c>
      <c r="H4" s="4">
        <v>4.0347944344659485E-2</v>
      </c>
      <c r="I4" s="4">
        <v>3.0619056504474142E-2</v>
      </c>
      <c r="J4" s="4">
        <v>-4.4678827819531336E-3</v>
      </c>
      <c r="K4" s="4">
        <v>4.6705034056937218E-2</v>
      </c>
      <c r="L4" s="4">
        <v>7.0421714583447093E-3</v>
      </c>
    </row>
    <row r="5" spans="1:12" x14ac:dyDescent="0.35">
      <c r="A5" s="3">
        <v>45931</v>
      </c>
      <c r="B5" s="4">
        <v>6.80136228099497E-2</v>
      </c>
      <c r="C5" s="4">
        <v>6.6096975484786297E-2</v>
      </c>
      <c r="D5" s="4">
        <v>7.9750538399335588E-2</v>
      </c>
      <c r="E5" s="4">
        <v>7.5003787499258887E-2</v>
      </c>
      <c r="F5" s="4">
        <v>4.8443121487523652E-2</v>
      </c>
      <c r="G5" s="4">
        <v>8.5359244343825497E-2</v>
      </c>
      <c r="H5" s="4">
        <v>5.1373798459802347E-2</v>
      </c>
      <c r="I5" s="4">
        <v>5.7337332163185969E-2</v>
      </c>
      <c r="J5" s="4">
        <v>6.8390916747336675E-2</v>
      </c>
      <c r="K5" s="4">
        <v>9.8696355851309384E-3</v>
      </c>
      <c r="L5" s="4">
        <v>8.2689583792591545E-2</v>
      </c>
    </row>
    <row r="6" spans="1:12" x14ac:dyDescent="0.35">
      <c r="A6" s="3">
        <v>45962</v>
      </c>
      <c r="B6" s="4">
        <v>-2.1827677643961929E-2</v>
      </c>
      <c r="C6" s="4">
        <v>-1.3173988538969523E-2</v>
      </c>
      <c r="D6" s="4">
        <v>1.3266583112081426E-2</v>
      </c>
      <c r="E6" s="4">
        <v>-1.5177801992839302E-2</v>
      </c>
      <c r="F6" s="4">
        <v>1.4816074709503852E-2</v>
      </c>
      <c r="G6" s="4">
        <v>3.7480637582998615E-4</v>
      </c>
      <c r="H6" s="4">
        <v>-1.148319181814751E-2</v>
      </c>
      <c r="I6" s="4">
        <v>-2.9536936331048383E-2</v>
      </c>
      <c r="J6" s="4">
        <v>-1.6153079011290957E-4</v>
      </c>
      <c r="K6" s="4">
        <v>1.0985767632092015E-2</v>
      </c>
      <c r="L6" s="4">
        <v>-1.6689667088424821E-2</v>
      </c>
    </row>
    <row r="7" spans="1:12" x14ac:dyDescent="0.35">
      <c r="A7" s="3">
        <v>45992</v>
      </c>
      <c r="B7" s="4">
        <v>4.714646632243173E-3</v>
      </c>
      <c r="C7" s="4">
        <v>-6.9945315321376742E-3</v>
      </c>
      <c r="D7" s="4">
        <v>1.9253395180354657E-3</v>
      </c>
      <c r="E7" s="4">
        <v>1.059495184325669E-2</v>
      </c>
      <c r="F7" s="4">
        <v>2.5691048379550878E-2</v>
      </c>
      <c r="G7" s="4">
        <v>-7.3456252872845717E-3</v>
      </c>
      <c r="H7" s="4">
        <v>9.3777877815884279E-3</v>
      </c>
      <c r="I7" s="4">
        <v>-9.6418369054776798E-3</v>
      </c>
      <c r="J7" s="4">
        <v>4.7899363971738503E-2</v>
      </c>
      <c r="K7" s="4">
        <v>4.3058099463317602E-2</v>
      </c>
      <c r="L7" s="4">
        <v>-7.4653390325889286E-3</v>
      </c>
    </row>
    <row r="8" spans="1:12" x14ac:dyDescent="0.35">
      <c r="A8" s="3">
        <v>46023</v>
      </c>
      <c r="B8" s="4">
        <v>6.3683308002915787E-2</v>
      </c>
      <c r="C8" s="4">
        <v>4.8459103482663378E-2</v>
      </c>
      <c r="D8" s="4">
        <v>7.5972398234560423E-2</v>
      </c>
      <c r="E8" s="4">
        <v>0.10602220559427382</v>
      </c>
      <c r="F8" s="4">
        <v>7.3286735819703769E-2</v>
      </c>
      <c r="G8" s="4">
        <v>7.3003728151005712E-2</v>
      </c>
      <c r="H8" s="4">
        <v>4.8201084190152989E-2</v>
      </c>
      <c r="I8" s="4">
        <v>5.7197371027730717E-2</v>
      </c>
      <c r="J8" s="4">
        <v>6.7321293324673209E-2</v>
      </c>
      <c r="K8" s="4">
        <v>1.9331955438548851E-2</v>
      </c>
      <c r="L8" s="4">
        <v>6.9646728812615147E-2</v>
      </c>
    </row>
    <row r="9" spans="1:12" x14ac:dyDescent="0.35">
      <c r="A9" s="3">
        <v>46054</v>
      </c>
      <c r="B9" s="4">
        <v>1.6255923514327971E-2</v>
      </c>
      <c r="C9" s="4">
        <v>6.9938344481377659E-2</v>
      </c>
      <c r="D9" s="4">
        <v>3.6545054170942219E-2</v>
      </c>
      <c r="E9" s="4">
        <v>6.5062469381663601E-2</v>
      </c>
      <c r="F9" s="4">
        <v>6.0702916582262664E-2</v>
      </c>
      <c r="G9" s="4">
        <v>-1.0539891259015027E-3</v>
      </c>
      <c r="H9" s="4">
        <v>4.4526202768633422E-2</v>
      </c>
      <c r="I9" s="4">
        <v>1.8782104865072344E-2</v>
      </c>
      <c r="J9" s="4">
        <v>4.4728336012788604E-2</v>
      </c>
      <c r="K9" s="4">
        <v>9.9576094493085583E-3</v>
      </c>
      <c r="L9" s="4">
        <v>4.4057555459081632E-3</v>
      </c>
    </row>
    <row r="10" spans="1:12" x14ac:dyDescent="0.35">
      <c r="A10" s="3">
        <v>46082</v>
      </c>
      <c r="B10" s="4">
        <v>1.6917153625423287E-2</v>
      </c>
      <c r="C10" s="4">
        <v>-9.4320736165470504E-3</v>
      </c>
      <c r="D10" s="4">
        <v>-4.1427312788486444E-2</v>
      </c>
      <c r="E10" s="4">
        <v>-2.9719120989330473E-2</v>
      </c>
      <c r="F10" s="4">
        <v>-4.0852037083153074E-3</v>
      </c>
      <c r="G10" s="4">
        <v>-1.5172413194148325E-2</v>
      </c>
      <c r="H10" s="4">
        <v>-2.1047395911855803E-2</v>
      </c>
      <c r="I10" s="4">
        <v>-1.2926792126978462E-2</v>
      </c>
      <c r="J10" s="4">
        <v>-1.1473210831502953E-2</v>
      </c>
      <c r="K10" s="4">
        <v>-3.9354091888161233E-3</v>
      </c>
      <c r="L10" s="4">
        <v>-3.5350328859659764E-3</v>
      </c>
    </row>
    <row r="11" spans="1:12" x14ac:dyDescent="0.35">
      <c r="A11" s="3">
        <v>46113</v>
      </c>
      <c r="B11" s="4">
        <v>2.9642235995223656E-2</v>
      </c>
      <c r="C11" s="4">
        <v>4.0928229028047922E-3</v>
      </c>
      <c r="D11" s="4">
        <v>1.8275757749888277E-2</v>
      </c>
      <c r="E11" s="4">
        <v>2.9458634575102016E-2</v>
      </c>
      <c r="F11" s="4">
        <v>1.8285126738508035E-2</v>
      </c>
      <c r="G11" s="4">
        <v>3.6844653173673518E-2</v>
      </c>
      <c r="H11" s="4">
        <v>1.2753318201279718E-2</v>
      </c>
      <c r="I11" s="4">
        <v>3.48131787053855E-2</v>
      </c>
      <c r="J11" s="4">
        <v>6.3288409910479473E-3</v>
      </c>
      <c r="K11" s="4">
        <v>6.2668078765672399E-3</v>
      </c>
      <c r="L11" s="4">
        <v>4.8419656393227505E-2</v>
      </c>
    </row>
    <row r="12" spans="1:12" x14ac:dyDescent="0.35">
      <c r="A12" s="3">
        <v>46143</v>
      </c>
      <c r="B12" s="4">
        <v>-1.0766649775614786E-2</v>
      </c>
      <c r="C12" s="4">
        <v>7.4946966864400649E-3</v>
      </c>
      <c r="D12" s="4">
        <v>-2.0803153902944092E-2</v>
      </c>
      <c r="E12" s="4">
        <v>-6.0187806269269093E-3</v>
      </c>
      <c r="F12" s="4">
        <v>-3.8356309879551357E-3</v>
      </c>
      <c r="G12" s="4">
        <v>1.9021173182331833E-2</v>
      </c>
      <c r="H12" s="4">
        <v>-1.4691023075767171E-2</v>
      </c>
      <c r="I12" s="4">
        <v>2.824068108296196E-2</v>
      </c>
      <c r="J12" s="4">
        <v>1.2319748577801923E-2</v>
      </c>
      <c r="K12" s="4">
        <v>-3.6808457863196822E-2</v>
      </c>
      <c r="L12" s="4">
        <v>-4.0052195475598421E-2</v>
      </c>
    </row>
    <row r="13" spans="1:12" x14ac:dyDescent="0.35">
      <c r="A13" s="3">
        <v>46174</v>
      </c>
      <c r="B13" s="4">
        <v>-4.0718532388500948E-2</v>
      </c>
      <c r="C13" s="4">
        <v>-3.3451684620809177E-2</v>
      </c>
      <c r="D13" s="4">
        <v>9.4503353672870122E-3</v>
      </c>
      <c r="E13" s="4">
        <v>6.7558743710748551E-3</v>
      </c>
      <c r="F13" s="4">
        <v>1.9600081679368594E-2</v>
      </c>
      <c r="G13" s="4">
        <v>-2.0994594508283223E-2</v>
      </c>
      <c r="H13" s="4">
        <v>-3.6179272555469051E-2</v>
      </c>
      <c r="I13" s="4">
        <v>-6.0747148718924681E-3</v>
      </c>
      <c r="J13" s="4">
        <v>4.4094705109252088E-3</v>
      </c>
      <c r="K13" s="4">
        <v>-4.4747950824251051E-3</v>
      </c>
      <c r="L13" s="4">
        <v>-4.2792154364616215E-3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D27F-556B-49DC-9F91-4903D8363F89}">
  <dimension ref="A1:D133"/>
  <sheetViews>
    <sheetView workbookViewId="0"/>
  </sheetViews>
  <sheetFormatPr defaultRowHeight="14.5" x14ac:dyDescent="0.35"/>
  <cols>
    <col min="1" max="1" width="9.08984375" bestFit="1" customWidth="1"/>
    <col min="2" max="2" width="21.1796875" bestFit="1" customWidth="1"/>
    <col min="3" max="3" width="11.08984375" bestFit="1" customWidth="1"/>
    <col min="4" max="4" width="16.81640625" bestFit="1" customWidth="1"/>
  </cols>
  <sheetData>
    <row r="1" spans="1:4" x14ac:dyDescent="0.35">
      <c r="A1" s="2" t="s">
        <v>0</v>
      </c>
      <c r="B1" s="2" t="s">
        <v>12</v>
      </c>
      <c r="C1" s="2" t="s">
        <v>13</v>
      </c>
      <c r="D1" s="2" t="s">
        <v>14</v>
      </c>
    </row>
    <row r="2" spans="1:4" x14ac:dyDescent="0.35">
      <c r="A2" s="1">
        <v>45839</v>
      </c>
      <c r="B2" t="s">
        <v>1</v>
      </c>
      <c r="C2" s="4">
        <v>0.2813896404893334</v>
      </c>
      <c r="D2" s="4">
        <v>0.234854850785091</v>
      </c>
    </row>
    <row r="3" spans="1:4" x14ac:dyDescent="0.35">
      <c r="A3" s="1">
        <v>45839</v>
      </c>
      <c r="B3" t="s">
        <v>2</v>
      </c>
      <c r="C3" s="4">
        <v>0.14056117008242164</v>
      </c>
      <c r="D3" s="4">
        <v>0.11808889622711227</v>
      </c>
    </row>
    <row r="4" spans="1:4" x14ac:dyDescent="0.35">
      <c r="A4" s="1">
        <v>45839</v>
      </c>
      <c r="B4" t="s">
        <v>3</v>
      </c>
      <c r="C4" s="4">
        <v>0.13044784701357562</v>
      </c>
      <c r="D4" s="4">
        <v>0.15664619641736133</v>
      </c>
    </row>
    <row r="5" spans="1:4" x14ac:dyDescent="0.35">
      <c r="A5" s="1">
        <v>45839</v>
      </c>
      <c r="B5" t="s">
        <v>4</v>
      </c>
      <c r="C5" s="4">
        <v>0.12062958841559433</v>
      </c>
      <c r="D5" s="4">
        <v>0.10560291376949854</v>
      </c>
    </row>
    <row r="6" spans="1:4" x14ac:dyDescent="0.35">
      <c r="A6" s="1">
        <v>45839</v>
      </c>
      <c r="B6" t="s">
        <v>5</v>
      </c>
      <c r="C6" s="4">
        <v>0.10035587091562785</v>
      </c>
      <c r="D6" s="4">
        <v>0.10594820208409154</v>
      </c>
    </row>
    <row r="7" spans="1:4" x14ac:dyDescent="0.35">
      <c r="A7" s="1">
        <v>45839</v>
      </c>
      <c r="B7" t="s">
        <v>6</v>
      </c>
      <c r="C7" s="4">
        <v>8.2576448950393511E-2</v>
      </c>
      <c r="D7" s="4">
        <v>7.599790861519555E-2</v>
      </c>
    </row>
    <row r="8" spans="1:4" x14ac:dyDescent="0.35">
      <c r="A8" s="1">
        <v>45839</v>
      </c>
      <c r="B8" t="s">
        <v>7</v>
      </c>
      <c r="C8" s="4">
        <v>4.1281273974526092E-2</v>
      </c>
      <c r="D8" s="4">
        <v>7.3874479753145011E-2</v>
      </c>
    </row>
    <row r="9" spans="1:4" x14ac:dyDescent="0.35">
      <c r="A9" s="1">
        <v>45839</v>
      </c>
      <c r="B9" t="s">
        <v>8</v>
      </c>
      <c r="C9" s="4">
        <v>3.1861433478935781E-2</v>
      </c>
      <c r="D9" s="4">
        <v>3.8804798987223103E-2</v>
      </c>
    </row>
    <row r="10" spans="1:4" x14ac:dyDescent="0.35">
      <c r="A10" s="1">
        <v>45839</v>
      </c>
      <c r="B10" t="s">
        <v>9</v>
      </c>
      <c r="C10" s="4">
        <v>3.7234774227933636E-2</v>
      </c>
      <c r="D10" s="4">
        <v>3.4911853151216983E-2</v>
      </c>
    </row>
    <row r="11" spans="1:4" x14ac:dyDescent="0.35">
      <c r="A11" s="1">
        <v>45839</v>
      </c>
      <c r="B11" t="s">
        <v>10</v>
      </c>
      <c r="C11" s="4">
        <v>1.747858156335174E-2</v>
      </c>
      <c r="D11" s="4">
        <v>3.0604731967924615E-2</v>
      </c>
    </row>
    <row r="12" spans="1:4" x14ac:dyDescent="0.35">
      <c r="A12" s="1">
        <v>45839</v>
      </c>
      <c r="B12" t="s">
        <v>11</v>
      </c>
      <c r="C12" s="4">
        <v>1.6183370888306244E-2</v>
      </c>
      <c r="D12" s="4">
        <v>2.4665168242140063E-2</v>
      </c>
    </row>
    <row r="13" spans="1:4" x14ac:dyDescent="0.35">
      <c r="A13" s="1">
        <v>45870</v>
      </c>
      <c r="B13" t="s">
        <v>1</v>
      </c>
      <c r="C13" s="4">
        <v>0.28069200813105571</v>
      </c>
      <c r="D13" s="4">
        <v>0.23978212060481641</v>
      </c>
    </row>
    <row r="14" spans="1:4" x14ac:dyDescent="0.35">
      <c r="A14" s="1">
        <v>45870</v>
      </c>
      <c r="B14" t="s">
        <v>2</v>
      </c>
      <c r="C14" s="4">
        <v>0.14024146761196143</v>
      </c>
      <c r="D14" s="4">
        <v>0.124120820233076</v>
      </c>
    </row>
    <row r="15" spans="1:4" x14ac:dyDescent="0.35">
      <c r="A15" s="1">
        <v>45870</v>
      </c>
      <c r="B15" t="s">
        <v>3</v>
      </c>
      <c r="C15" s="4">
        <v>0.1253209397791305</v>
      </c>
      <c r="D15" s="4">
        <v>0.15097542971486133</v>
      </c>
    </row>
    <row r="16" spans="1:4" x14ac:dyDescent="0.35">
      <c r="A16" s="1">
        <v>45870</v>
      </c>
      <c r="B16" t="s">
        <v>4</v>
      </c>
      <c r="C16" s="4">
        <v>0.11890605836811123</v>
      </c>
      <c r="D16" s="4">
        <v>0.1049084231112337</v>
      </c>
    </row>
    <row r="17" spans="1:4" x14ac:dyDescent="0.35">
      <c r="A17" s="1">
        <v>45870</v>
      </c>
      <c r="B17" t="s">
        <v>5</v>
      </c>
      <c r="C17" s="4">
        <v>0.10068855696445453</v>
      </c>
      <c r="D17" s="4">
        <v>0.11169640417101115</v>
      </c>
    </row>
    <row r="18" spans="1:4" x14ac:dyDescent="0.35">
      <c r="A18" s="1">
        <v>45870</v>
      </c>
      <c r="B18" t="s">
        <v>6</v>
      </c>
      <c r="C18" s="4">
        <v>8.7797170421063303E-2</v>
      </c>
      <c r="D18" s="4">
        <v>7.5275916977120452E-2</v>
      </c>
    </row>
    <row r="19" spans="1:4" x14ac:dyDescent="0.35">
      <c r="A19" s="1">
        <v>45870</v>
      </c>
      <c r="B19" t="s">
        <v>7</v>
      </c>
      <c r="C19" s="4">
        <v>4.7317902732675603E-2</v>
      </c>
      <c r="D19" s="4">
        <v>6.3855626063363077E-2</v>
      </c>
    </row>
    <row r="20" spans="1:4" x14ac:dyDescent="0.35">
      <c r="A20" s="1">
        <v>45870</v>
      </c>
      <c r="B20" t="s">
        <v>8</v>
      </c>
      <c r="C20" s="4">
        <v>2.6948644350212596E-2</v>
      </c>
      <c r="D20" s="4">
        <v>4.8263561234328428E-2</v>
      </c>
    </row>
    <row r="21" spans="1:4" x14ac:dyDescent="0.35">
      <c r="A21" s="1">
        <v>45870</v>
      </c>
      <c r="B21" t="s">
        <v>9</v>
      </c>
      <c r="C21" s="4">
        <v>3.5809741915592393E-2</v>
      </c>
      <c r="D21" s="4">
        <v>3.4742879858269994E-2</v>
      </c>
    </row>
    <row r="22" spans="1:4" x14ac:dyDescent="0.35">
      <c r="A22" s="1">
        <v>45870</v>
      </c>
      <c r="B22" t="s">
        <v>10</v>
      </c>
      <c r="C22" s="4">
        <v>2.1754610298700367E-2</v>
      </c>
      <c r="D22" s="4">
        <v>2.3949788416696323E-2</v>
      </c>
    </row>
    <row r="23" spans="1:4" x14ac:dyDescent="0.35">
      <c r="A23" s="1">
        <v>45870</v>
      </c>
      <c r="B23" t="s">
        <v>11</v>
      </c>
      <c r="C23" s="4">
        <v>1.4522899427042324E-2</v>
      </c>
      <c r="D23" s="4">
        <v>2.242902961522308E-2</v>
      </c>
    </row>
    <row r="24" spans="1:4" x14ac:dyDescent="0.35">
      <c r="A24" s="1">
        <v>45901</v>
      </c>
      <c r="B24" t="s">
        <v>1</v>
      </c>
      <c r="C24" s="4">
        <v>0.27337629711898376</v>
      </c>
      <c r="D24" s="4">
        <v>0.23150503080587664</v>
      </c>
    </row>
    <row r="25" spans="1:4" x14ac:dyDescent="0.35">
      <c r="A25" s="1">
        <v>45901</v>
      </c>
      <c r="B25" t="s">
        <v>2</v>
      </c>
      <c r="C25" s="4">
        <v>0.14645533154861134</v>
      </c>
      <c r="D25" s="4">
        <v>0.12316057258710261</v>
      </c>
    </row>
    <row r="26" spans="1:4" x14ac:dyDescent="0.35">
      <c r="A26" s="1">
        <v>45901</v>
      </c>
      <c r="B26" t="s">
        <v>3</v>
      </c>
      <c r="C26" s="4">
        <v>0.12530974144327431</v>
      </c>
      <c r="D26" s="4">
        <v>0.15657026490576365</v>
      </c>
    </row>
    <row r="27" spans="1:4" x14ac:dyDescent="0.35">
      <c r="A27" s="1">
        <v>45901</v>
      </c>
      <c r="B27" t="s">
        <v>4</v>
      </c>
      <c r="C27" s="4">
        <v>0.12024145671691079</v>
      </c>
      <c r="D27" s="4">
        <v>0.10620492696769654</v>
      </c>
    </row>
    <row r="28" spans="1:4" x14ac:dyDescent="0.35">
      <c r="A28" s="1">
        <v>45901</v>
      </c>
      <c r="B28" t="s">
        <v>5</v>
      </c>
      <c r="C28" s="4">
        <v>9.9702885829598686E-2</v>
      </c>
      <c r="D28" s="4">
        <v>0.10591882186627898</v>
      </c>
    </row>
    <row r="29" spans="1:4" x14ac:dyDescent="0.35">
      <c r="A29" s="1">
        <v>45901</v>
      </c>
      <c r="B29" t="s">
        <v>6</v>
      </c>
      <c r="C29" s="4">
        <v>8.0955383594225508E-2</v>
      </c>
      <c r="D29" s="4">
        <v>7.5532153756561596E-2</v>
      </c>
    </row>
    <row r="30" spans="1:4" x14ac:dyDescent="0.35">
      <c r="A30" s="1">
        <v>45901</v>
      </c>
      <c r="B30" t="s">
        <v>7</v>
      </c>
      <c r="C30" s="4">
        <v>4.1367731632227692E-2</v>
      </c>
      <c r="D30" s="4">
        <v>6.7002820030867785E-2</v>
      </c>
    </row>
    <row r="31" spans="1:4" x14ac:dyDescent="0.35">
      <c r="A31" s="1">
        <v>45901</v>
      </c>
      <c r="B31" t="s">
        <v>8</v>
      </c>
      <c r="C31" s="4">
        <v>3.2911101044465256E-2</v>
      </c>
      <c r="D31" s="4">
        <v>5.057670477776461E-2</v>
      </c>
    </row>
    <row r="32" spans="1:4" x14ac:dyDescent="0.35">
      <c r="A32" s="1">
        <v>45901</v>
      </c>
      <c r="B32" t="s">
        <v>9</v>
      </c>
      <c r="C32" s="4">
        <v>3.1943578255328266E-2</v>
      </c>
      <c r="D32" s="4">
        <v>3.3217689094289099E-2</v>
      </c>
    </row>
    <row r="33" spans="1:4" x14ac:dyDescent="0.35">
      <c r="A33" s="1">
        <v>45901</v>
      </c>
      <c r="B33" t="s">
        <v>10</v>
      </c>
      <c r="C33" s="4">
        <v>2.1378761853133574E-2</v>
      </c>
      <c r="D33" s="4">
        <v>2.7663482394515073E-2</v>
      </c>
    </row>
    <row r="34" spans="1:4" x14ac:dyDescent="0.35">
      <c r="A34" s="1">
        <v>45901</v>
      </c>
      <c r="B34" t="s">
        <v>11</v>
      </c>
      <c r="C34" s="4">
        <v>2.6357730963240979E-2</v>
      </c>
      <c r="D34" s="4">
        <v>2.2647532813283407E-2</v>
      </c>
    </row>
    <row r="35" spans="1:4" x14ac:dyDescent="0.35">
      <c r="A35" s="1">
        <v>45931</v>
      </c>
      <c r="B35" t="s">
        <v>1</v>
      </c>
      <c r="C35" s="4">
        <v>0.28356129788186074</v>
      </c>
      <c r="D35" s="4">
        <v>0.23655454883497931</v>
      </c>
    </row>
    <row r="36" spans="1:4" x14ac:dyDescent="0.35">
      <c r="A36" s="1">
        <v>45931</v>
      </c>
      <c r="B36" t="s">
        <v>2</v>
      </c>
      <c r="C36" s="4">
        <v>0.14703433860809711</v>
      </c>
      <c r="D36" s="4">
        <v>0.12906079982348287</v>
      </c>
    </row>
    <row r="37" spans="1:4" x14ac:dyDescent="0.35">
      <c r="A37" s="1">
        <v>45931</v>
      </c>
      <c r="B37" t="s">
        <v>3</v>
      </c>
      <c r="C37" s="4">
        <v>0.13234906593193346</v>
      </c>
      <c r="D37" s="4">
        <v>0.15258517471572869</v>
      </c>
    </row>
    <row r="38" spans="1:4" x14ac:dyDescent="0.35">
      <c r="A38" s="1">
        <v>45931</v>
      </c>
      <c r="B38" t="s">
        <v>4</v>
      </c>
      <c r="C38" s="4">
        <v>0.11935461772393362</v>
      </c>
      <c r="D38" s="4">
        <v>0.10058315398795785</v>
      </c>
    </row>
    <row r="39" spans="1:4" x14ac:dyDescent="0.35">
      <c r="A39" s="1">
        <v>45931</v>
      </c>
      <c r="B39" t="s">
        <v>5</v>
      </c>
      <c r="C39" s="4">
        <v>0.10030030732773333</v>
      </c>
      <c r="D39" s="4">
        <v>0.10698528164293823</v>
      </c>
    </row>
    <row r="40" spans="1:4" x14ac:dyDescent="0.35">
      <c r="A40" s="1">
        <v>45931</v>
      </c>
      <c r="B40" t="s">
        <v>6</v>
      </c>
      <c r="C40" s="4">
        <v>7.944151687342671E-2</v>
      </c>
      <c r="D40" s="4">
        <v>8.6100159183492217E-2</v>
      </c>
    </row>
    <row r="41" spans="1:4" x14ac:dyDescent="0.35">
      <c r="A41" s="1">
        <v>45931</v>
      </c>
      <c r="B41" t="s">
        <v>7</v>
      </c>
      <c r="C41" s="4">
        <v>3.518103350049704E-2</v>
      </c>
      <c r="D41" s="4">
        <v>6.8057315509879576E-2</v>
      </c>
    </row>
    <row r="42" spans="1:4" x14ac:dyDescent="0.35">
      <c r="A42" s="1">
        <v>45931</v>
      </c>
      <c r="B42" t="s">
        <v>8</v>
      </c>
      <c r="C42" s="4">
        <v>3.3284999164703823E-2</v>
      </c>
      <c r="D42" s="4">
        <v>4.2407305986182364E-2</v>
      </c>
    </row>
    <row r="43" spans="1:4" x14ac:dyDescent="0.35">
      <c r="A43" s="1">
        <v>45931</v>
      </c>
      <c r="B43" t="s">
        <v>9</v>
      </c>
      <c r="C43" s="4">
        <v>3.1784094729227733E-2</v>
      </c>
      <c r="D43" s="4">
        <v>4.0101038704904175E-2</v>
      </c>
    </row>
    <row r="44" spans="1:4" x14ac:dyDescent="0.35">
      <c r="A44" s="1">
        <v>45931</v>
      </c>
      <c r="B44" t="s">
        <v>10</v>
      </c>
      <c r="C44" s="4">
        <v>2.2050815611339831E-2</v>
      </c>
      <c r="D44" s="4">
        <v>2.1306399503349321E-2</v>
      </c>
    </row>
    <row r="45" spans="1:4" x14ac:dyDescent="0.35">
      <c r="A45" s="1">
        <v>45931</v>
      </c>
      <c r="B45" t="s">
        <v>11</v>
      </c>
      <c r="C45" s="4">
        <v>1.5657912647246607E-2</v>
      </c>
      <c r="D45" s="4">
        <v>1.6258822107105358E-2</v>
      </c>
    </row>
    <row r="46" spans="1:4" x14ac:dyDescent="0.35">
      <c r="A46" s="1">
        <v>45962</v>
      </c>
      <c r="B46" t="s">
        <v>1</v>
      </c>
      <c r="C46" s="4">
        <v>0.27545069836951619</v>
      </c>
      <c r="D46" s="4">
        <v>0.23503215006331932</v>
      </c>
    </row>
    <row r="47" spans="1:4" x14ac:dyDescent="0.35">
      <c r="A47" s="1">
        <v>45962</v>
      </c>
      <c r="B47" t="s">
        <v>2</v>
      </c>
      <c r="C47" s="4">
        <v>0.14553098462970682</v>
      </c>
      <c r="D47" s="4">
        <v>0.13560680189461385</v>
      </c>
    </row>
    <row r="48" spans="1:4" x14ac:dyDescent="0.35">
      <c r="A48" s="1">
        <v>45962</v>
      </c>
      <c r="B48" t="s">
        <v>3</v>
      </c>
      <c r="C48" s="4">
        <v>0.12934108496232985</v>
      </c>
      <c r="D48" s="4">
        <v>0.14475375193249843</v>
      </c>
    </row>
    <row r="49" spans="1:4" x14ac:dyDescent="0.35">
      <c r="A49" s="1">
        <v>45962</v>
      </c>
      <c r="B49" t="s">
        <v>4</v>
      </c>
      <c r="C49" s="4">
        <v>0.12141369102255134</v>
      </c>
      <c r="D49" s="4">
        <v>0.10160646089921482</v>
      </c>
    </row>
    <row r="50" spans="1:4" x14ac:dyDescent="0.35">
      <c r="A50" s="1">
        <v>45962</v>
      </c>
      <c r="B50" t="s">
        <v>5</v>
      </c>
      <c r="C50" s="4">
        <v>9.872588068815151E-2</v>
      </c>
      <c r="D50" s="4">
        <v>0.10594917339365068</v>
      </c>
    </row>
    <row r="51" spans="1:4" x14ac:dyDescent="0.35">
      <c r="A51" s="1">
        <v>45962</v>
      </c>
      <c r="B51" t="s">
        <v>6</v>
      </c>
      <c r="C51" s="4">
        <v>8.6779876331107439E-2</v>
      </c>
      <c r="D51" s="4">
        <v>7.7460435793708968E-2</v>
      </c>
    </row>
    <row r="52" spans="1:4" x14ac:dyDescent="0.35">
      <c r="A52" s="1">
        <v>45962</v>
      </c>
      <c r="B52" t="s">
        <v>7</v>
      </c>
      <c r="C52" s="4">
        <v>3.8632611453151666E-2</v>
      </c>
      <c r="D52" s="4">
        <v>5.8949431308798511E-2</v>
      </c>
    </row>
    <row r="53" spans="1:4" x14ac:dyDescent="0.35">
      <c r="A53" s="1">
        <v>45962</v>
      </c>
      <c r="B53" t="s">
        <v>8</v>
      </c>
      <c r="C53" s="4">
        <v>2.7778364812340958E-2</v>
      </c>
      <c r="D53" s="4">
        <v>4.2589809296902342E-2</v>
      </c>
    </row>
    <row r="54" spans="1:4" x14ac:dyDescent="0.35">
      <c r="A54" s="1">
        <v>45962</v>
      </c>
      <c r="B54" t="s">
        <v>9</v>
      </c>
      <c r="C54" s="4">
        <v>3.5877015556030019E-2</v>
      </c>
      <c r="D54" s="4">
        <v>4.8786647003649597E-2</v>
      </c>
    </row>
    <row r="55" spans="1:4" x14ac:dyDescent="0.35">
      <c r="A55" s="1">
        <v>45962</v>
      </c>
      <c r="B55" t="s">
        <v>10</v>
      </c>
      <c r="C55" s="4">
        <v>2.2541267153203429E-2</v>
      </c>
      <c r="D55" s="4">
        <v>1.8680025540756349E-2</v>
      </c>
    </row>
    <row r="56" spans="1:4" x14ac:dyDescent="0.35">
      <c r="A56" s="1">
        <v>45962</v>
      </c>
      <c r="B56" t="s">
        <v>11</v>
      </c>
      <c r="C56" s="4">
        <v>1.7928525021910668E-2</v>
      </c>
      <c r="D56" s="4">
        <v>3.0585312872887287E-2</v>
      </c>
    </row>
    <row r="57" spans="1:4" x14ac:dyDescent="0.35">
      <c r="A57" s="1">
        <v>45992</v>
      </c>
      <c r="B57" t="s">
        <v>1</v>
      </c>
      <c r="C57" s="4">
        <v>0.28279937766569407</v>
      </c>
      <c r="D57" s="4">
        <v>0.2290224651262148</v>
      </c>
    </row>
    <row r="58" spans="1:4" x14ac:dyDescent="0.35">
      <c r="A58" s="1">
        <v>45992</v>
      </c>
      <c r="B58" t="s">
        <v>2</v>
      </c>
      <c r="C58" s="4">
        <v>0.14505803728824945</v>
      </c>
      <c r="D58" s="4">
        <v>0.13226977590536282</v>
      </c>
    </row>
    <row r="59" spans="1:4" x14ac:dyDescent="0.35">
      <c r="A59" s="1">
        <v>45992</v>
      </c>
      <c r="B59" t="s">
        <v>3</v>
      </c>
      <c r="C59" s="4">
        <v>0.13434385283677405</v>
      </c>
      <c r="D59" s="4">
        <v>0.15833863851549154</v>
      </c>
    </row>
    <row r="60" spans="1:4" x14ac:dyDescent="0.35">
      <c r="A60" s="1">
        <v>45992</v>
      </c>
      <c r="B60" t="s">
        <v>4</v>
      </c>
      <c r="C60" s="4">
        <v>0.12165052179227072</v>
      </c>
      <c r="D60" s="4">
        <v>0.10108003918608259</v>
      </c>
    </row>
    <row r="61" spans="1:4" x14ac:dyDescent="0.35">
      <c r="A61" s="1">
        <v>45992</v>
      </c>
      <c r="B61" t="s">
        <v>5</v>
      </c>
      <c r="C61" s="4">
        <v>9.8406444515960242E-2</v>
      </c>
      <c r="D61" s="4">
        <v>9.44615585405255E-2</v>
      </c>
    </row>
    <row r="62" spans="1:4" x14ac:dyDescent="0.35">
      <c r="A62" s="1">
        <v>45992</v>
      </c>
      <c r="B62" t="s">
        <v>6</v>
      </c>
      <c r="C62" s="4">
        <v>8.2497049379576512E-2</v>
      </c>
      <c r="D62" s="4">
        <v>7.4262234136168712E-2</v>
      </c>
    </row>
    <row r="63" spans="1:4" x14ac:dyDescent="0.35">
      <c r="A63" s="1">
        <v>45992</v>
      </c>
      <c r="B63" t="s">
        <v>7</v>
      </c>
      <c r="C63" s="4">
        <v>3.6254689641862251E-2</v>
      </c>
      <c r="D63" s="4">
        <v>7.3683036164153906E-2</v>
      </c>
    </row>
    <row r="64" spans="1:4" x14ac:dyDescent="0.35">
      <c r="A64" s="1">
        <v>45992</v>
      </c>
      <c r="B64" t="s">
        <v>8</v>
      </c>
      <c r="C64" s="4">
        <v>3.0856165039491505E-2</v>
      </c>
      <c r="D64" s="4">
        <v>4.3104550476980051E-2</v>
      </c>
    </row>
    <row r="65" spans="1:4" x14ac:dyDescent="0.35">
      <c r="A65" s="1">
        <v>45992</v>
      </c>
      <c r="B65" t="s">
        <v>9</v>
      </c>
      <c r="C65" s="4">
        <v>3.1160939341832086E-2</v>
      </c>
      <c r="D65" s="4">
        <v>4.7542518231906104E-2</v>
      </c>
    </row>
    <row r="66" spans="1:4" x14ac:dyDescent="0.35">
      <c r="A66" s="1">
        <v>45992</v>
      </c>
      <c r="B66" t="s">
        <v>10</v>
      </c>
      <c r="C66" s="4">
        <v>2.0336471788799302E-2</v>
      </c>
      <c r="D66" s="4">
        <v>3.1035255106150347E-2</v>
      </c>
    </row>
    <row r="67" spans="1:4" x14ac:dyDescent="0.35">
      <c r="A67" s="1">
        <v>45992</v>
      </c>
      <c r="B67" t="s">
        <v>11</v>
      </c>
      <c r="C67" s="4">
        <v>1.6636450709489714E-2</v>
      </c>
      <c r="D67" s="4">
        <v>1.5199928610963725E-2</v>
      </c>
    </row>
    <row r="68" spans="1:4" x14ac:dyDescent="0.35">
      <c r="A68" s="1">
        <v>46023</v>
      </c>
      <c r="B68" t="s">
        <v>1</v>
      </c>
      <c r="C68" s="4">
        <v>0.28121682927914232</v>
      </c>
      <c r="D68" s="4">
        <v>0.23058827501177689</v>
      </c>
    </row>
    <row r="69" spans="1:4" x14ac:dyDescent="0.35">
      <c r="A69" s="1">
        <v>46023</v>
      </c>
      <c r="B69" t="s">
        <v>2</v>
      </c>
      <c r="C69" s="4">
        <v>0.14540425897232387</v>
      </c>
      <c r="D69" s="4">
        <v>0.1224770674447704</v>
      </c>
    </row>
    <row r="70" spans="1:4" x14ac:dyDescent="0.35">
      <c r="A70" s="1">
        <v>46023</v>
      </c>
      <c r="B70" t="s">
        <v>3</v>
      </c>
      <c r="C70" s="4">
        <v>0.13341797799711108</v>
      </c>
      <c r="D70" s="4">
        <v>0.15200328863465329</v>
      </c>
    </row>
    <row r="71" spans="1:4" x14ac:dyDescent="0.35">
      <c r="A71" s="1">
        <v>46023</v>
      </c>
      <c r="B71" t="s">
        <v>4</v>
      </c>
      <c r="C71" s="4">
        <v>0.11754785170521703</v>
      </c>
      <c r="D71" s="4">
        <v>0.11034267823582039</v>
      </c>
    </row>
    <row r="72" spans="1:4" x14ac:dyDescent="0.35">
      <c r="A72" s="1">
        <v>46023</v>
      </c>
      <c r="B72" t="s">
        <v>5</v>
      </c>
      <c r="C72" s="4">
        <v>9.5164863482391129E-2</v>
      </c>
      <c r="D72" s="4">
        <v>0.11790053811570995</v>
      </c>
    </row>
    <row r="73" spans="1:4" x14ac:dyDescent="0.35">
      <c r="A73" s="1">
        <v>46023</v>
      </c>
      <c r="B73" t="s">
        <v>6</v>
      </c>
      <c r="C73" s="4">
        <v>8.7706044756629575E-2</v>
      </c>
      <c r="D73" s="4">
        <v>7.2540094739662803E-2</v>
      </c>
    </row>
    <row r="74" spans="1:4" x14ac:dyDescent="0.35">
      <c r="A74" s="1">
        <v>46023</v>
      </c>
      <c r="B74" t="s">
        <v>7</v>
      </c>
      <c r="C74" s="4">
        <v>3.8545497830363332E-2</v>
      </c>
      <c r="D74" s="4">
        <v>6.4883517277223801E-2</v>
      </c>
    </row>
    <row r="75" spans="1:4" x14ac:dyDescent="0.35">
      <c r="A75" s="1">
        <v>46023</v>
      </c>
      <c r="B75" t="s">
        <v>8</v>
      </c>
      <c r="C75" s="4">
        <v>2.8830349235362061E-2</v>
      </c>
      <c r="D75" s="4">
        <v>4.2952210011816573E-2</v>
      </c>
    </row>
    <row r="76" spans="1:4" x14ac:dyDescent="0.35">
      <c r="A76" s="1">
        <v>46023</v>
      </c>
      <c r="B76" t="s">
        <v>9</v>
      </c>
      <c r="C76" s="4">
        <v>3.795607815890957E-2</v>
      </c>
      <c r="D76" s="4">
        <v>3.6204229670235857E-2</v>
      </c>
    </row>
    <row r="77" spans="1:4" x14ac:dyDescent="0.35">
      <c r="A77" s="1">
        <v>46023</v>
      </c>
      <c r="B77" t="s">
        <v>10</v>
      </c>
      <c r="C77" s="4">
        <v>1.8115653681266938E-2</v>
      </c>
      <c r="D77" s="4">
        <v>2.6171389177820942E-2</v>
      </c>
    </row>
    <row r="78" spans="1:4" x14ac:dyDescent="0.35">
      <c r="A78" s="1">
        <v>46023</v>
      </c>
      <c r="B78" t="s">
        <v>11</v>
      </c>
      <c r="C78" s="4">
        <v>1.6094594901283021E-2</v>
      </c>
      <c r="D78" s="4">
        <v>2.3936711680508902E-2</v>
      </c>
    </row>
    <row r="79" spans="1:4" x14ac:dyDescent="0.35">
      <c r="A79" s="1">
        <v>46054</v>
      </c>
      <c r="B79" t="s">
        <v>1</v>
      </c>
      <c r="C79" s="4">
        <v>0.2806292021526916</v>
      </c>
      <c r="D79" s="4">
        <v>0.23271768658785436</v>
      </c>
    </row>
    <row r="80" spans="1:4" x14ac:dyDescent="0.35">
      <c r="A80" s="1">
        <v>46054</v>
      </c>
      <c r="B80" t="s">
        <v>2</v>
      </c>
      <c r="C80" s="4">
        <v>0.14267900140628179</v>
      </c>
      <c r="D80" s="4">
        <v>0.1176465937048634</v>
      </c>
    </row>
    <row r="81" spans="1:4" x14ac:dyDescent="0.35">
      <c r="A81" s="1">
        <v>46054</v>
      </c>
      <c r="B81" t="s">
        <v>3</v>
      </c>
      <c r="C81" s="4">
        <v>0.13124199360121511</v>
      </c>
      <c r="D81" s="4">
        <v>0.154522368998668</v>
      </c>
    </row>
    <row r="82" spans="1:4" x14ac:dyDescent="0.35">
      <c r="A82" s="1">
        <v>46054</v>
      </c>
      <c r="B82" t="s">
        <v>4</v>
      </c>
      <c r="C82" s="4">
        <v>0.11981416204267813</v>
      </c>
      <c r="D82" s="4">
        <v>0.10211075077699534</v>
      </c>
    </row>
    <row r="83" spans="1:4" x14ac:dyDescent="0.35">
      <c r="A83" s="1">
        <v>46054</v>
      </c>
      <c r="B83" t="s">
        <v>5</v>
      </c>
      <c r="C83" s="4">
        <v>9.7786343883241575E-2</v>
      </c>
      <c r="D83" s="4">
        <v>0.11329847416895725</v>
      </c>
    </row>
    <row r="84" spans="1:4" x14ac:dyDescent="0.35">
      <c r="A84" s="1">
        <v>46054</v>
      </c>
      <c r="B84" t="s">
        <v>6</v>
      </c>
      <c r="C84" s="4">
        <v>8.4016290910470623E-2</v>
      </c>
      <c r="D84" s="4">
        <v>7.567178318480966E-2</v>
      </c>
    </row>
    <row r="85" spans="1:4" x14ac:dyDescent="0.35">
      <c r="A85" s="1">
        <v>46054</v>
      </c>
      <c r="B85" t="s">
        <v>7</v>
      </c>
      <c r="C85" s="4">
        <v>4.3102851090753812E-2</v>
      </c>
      <c r="D85" s="4">
        <v>6.2214883773739696E-2</v>
      </c>
    </row>
    <row r="86" spans="1:4" x14ac:dyDescent="0.35">
      <c r="A86" s="1">
        <v>46054</v>
      </c>
      <c r="B86" t="s">
        <v>8</v>
      </c>
      <c r="C86" s="4">
        <v>3.2295561052676058E-2</v>
      </c>
      <c r="D86" s="4">
        <v>4.7822867345103853E-2</v>
      </c>
    </row>
    <row r="87" spans="1:4" x14ac:dyDescent="0.35">
      <c r="A87" s="1">
        <v>46054</v>
      </c>
      <c r="B87" t="s">
        <v>9</v>
      </c>
      <c r="C87" s="4">
        <v>3.4906324511673401E-2</v>
      </c>
      <c r="D87" s="4">
        <v>4.5292195543759434E-2</v>
      </c>
    </row>
    <row r="88" spans="1:4" x14ac:dyDescent="0.35">
      <c r="A88" s="1">
        <v>46054</v>
      </c>
      <c r="B88" t="s">
        <v>10</v>
      </c>
      <c r="C88" s="4">
        <v>1.8983984689629203E-2</v>
      </c>
      <c r="D88" s="4">
        <v>2.7655548992114146E-2</v>
      </c>
    </row>
    <row r="89" spans="1:4" x14ac:dyDescent="0.35">
      <c r="A89" s="1">
        <v>46054</v>
      </c>
      <c r="B89" t="s">
        <v>11</v>
      </c>
      <c r="C89" s="4">
        <v>1.4544284658688745E-2</v>
      </c>
      <c r="D89" s="4">
        <v>2.1046846923134726E-2</v>
      </c>
    </row>
    <row r="90" spans="1:4" x14ac:dyDescent="0.35">
      <c r="A90" s="1">
        <v>46082</v>
      </c>
      <c r="B90" t="s">
        <v>1</v>
      </c>
      <c r="C90" s="4">
        <v>0.28133774969408892</v>
      </c>
      <c r="D90" s="4">
        <v>0.23565125538435133</v>
      </c>
    </row>
    <row r="91" spans="1:4" x14ac:dyDescent="0.35">
      <c r="A91" s="1">
        <v>46082</v>
      </c>
      <c r="B91" t="s">
        <v>2</v>
      </c>
      <c r="C91" s="4">
        <v>0.15103680159935162</v>
      </c>
      <c r="D91" s="4">
        <v>0.1209942701581021</v>
      </c>
    </row>
    <row r="92" spans="1:4" x14ac:dyDescent="0.35">
      <c r="A92" s="1">
        <v>46082</v>
      </c>
      <c r="B92" t="s">
        <v>3</v>
      </c>
      <c r="C92" s="4">
        <v>0.12615666822128951</v>
      </c>
      <c r="D92" s="4">
        <v>0.15007580660303163</v>
      </c>
    </row>
    <row r="93" spans="1:4" x14ac:dyDescent="0.35">
      <c r="A93" s="1">
        <v>46082</v>
      </c>
      <c r="B93" t="s">
        <v>4</v>
      </c>
      <c r="C93" s="4">
        <v>0.12218054974337506</v>
      </c>
      <c r="D93" s="4">
        <v>0.11086878339686784</v>
      </c>
    </row>
    <row r="94" spans="1:4" x14ac:dyDescent="0.35">
      <c r="A94" s="1">
        <v>46082</v>
      </c>
      <c r="B94" t="s">
        <v>5</v>
      </c>
      <c r="C94" s="4">
        <v>0.10172315412410575</v>
      </c>
      <c r="D94" s="4">
        <v>0.11320047335539536</v>
      </c>
    </row>
    <row r="95" spans="1:4" x14ac:dyDescent="0.35">
      <c r="A95" s="1">
        <v>46082</v>
      </c>
      <c r="B95" t="s">
        <v>6</v>
      </c>
      <c r="C95" s="4">
        <v>8.2177459534084757E-2</v>
      </c>
      <c r="D95" s="4">
        <v>7.4991680276057154E-2</v>
      </c>
    </row>
    <row r="96" spans="1:4" x14ac:dyDescent="0.35">
      <c r="A96" s="1">
        <v>46082</v>
      </c>
      <c r="B96" t="s">
        <v>7</v>
      </c>
      <c r="C96" s="4">
        <v>3.7908187709874197E-2</v>
      </c>
      <c r="D96" s="4">
        <v>6.5425186812108627E-2</v>
      </c>
    </row>
    <row r="97" spans="1:4" x14ac:dyDescent="0.35">
      <c r="A97" s="1">
        <v>46082</v>
      </c>
      <c r="B97" t="s">
        <v>8</v>
      </c>
      <c r="C97" s="4">
        <v>2.9511862626187164E-2</v>
      </c>
      <c r="D97" s="4">
        <v>4.9910815745793022E-2</v>
      </c>
    </row>
    <row r="98" spans="1:4" x14ac:dyDescent="0.35">
      <c r="A98" s="1">
        <v>46082</v>
      </c>
      <c r="B98" t="s">
        <v>9</v>
      </c>
      <c r="C98" s="4">
        <v>3.3981763837204228E-2</v>
      </c>
      <c r="D98" s="4">
        <v>3.5897843539555649E-2</v>
      </c>
    </row>
    <row r="99" spans="1:4" x14ac:dyDescent="0.35">
      <c r="A99" s="1">
        <v>46082</v>
      </c>
      <c r="B99" t="s">
        <v>10</v>
      </c>
      <c r="C99" s="4">
        <v>1.8279735938150302E-2</v>
      </c>
      <c r="D99" s="4">
        <v>2.7083767581644116E-2</v>
      </c>
    </row>
    <row r="100" spans="1:4" x14ac:dyDescent="0.35">
      <c r="A100" s="1">
        <v>46082</v>
      </c>
      <c r="B100" t="s">
        <v>11</v>
      </c>
      <c r="C100" s="4">
        <v>1.5706066972288574E-2</v>
      </c>
      <c r="D100" s="4">
        <v>1.5900117147093155E-2</v>
      </c>
    </row>
    <row r="101" spans="1:4" x14ac:dyDescent="0.35">
      <c r="A101" s="1">
        <v>46113</v>
      </c>
      <c r="B101" t="s">
        <v>1</v>
      </c>
      <c r="C101" s="4">
        <v>0.27911920878580282</v>
      </c>
      <c r="D101" s="4">
        <v>0.23685042294811148</v>
      </c>
    </row>
    <row r="102" spans="1:4" x14ac:dyDescent="0.35">
      <c r="A102" s="1">
        <v>46113</v>
      </c>
      <c r="B102" t="s">
        <v>2</v>
      </c>
      <c r="C102" s="4">
        <v>0.14603100831376886</v>
      </c>
      <c r="D102" s="4">
        <v>0.12296960657275763</v>
      </c>
    </row>
    <row r="103" spans="1:4" x14ac:dyDescent="0.35">
      <c r="A103" s="1">
        <v>46113</v>
      </c>
      <c r="B103" t="s">
        <v>3</v>
      </c>
      <c r="C103" s="4">
        <v>0.12606668770636262</v>
      </c>
      <c r="D103" s="4">
        <v>0.14815088739894561</v>
      </c>
    </row>
    <row r="104" spans="1:4" x14ac:dyDescent="0.35">
      <c r="A104" s="1">
        <v>46113</v>
      </c>
      <c r="B104" t="s">
        <v>4</v>
      </c>
      <c r="C104" s="4">
        <v>0.11963398697752947</v>
      </c>
      <c r="D104" s="4">
        <v>0.10167633534065477</v>
      </c>
    </row>
    <row r="105" spans="1:4" x14ac:dyDescent="0.35">
      <c r="A105" s="1">
        <v>46113</v>
      </c>
      <c r="B105" t="s">
        <v>5</v>
      </c>
      <c r="C105" s="4">
        <v>0.1046660746972097</v>
      </c>
      <c r="D105" s="4">
        <v>0.1118499657590952</v>
      </c>
    </row>
    <row r="106" spans="1:4" x14ac:dyDescent="0.35">
      <c r="A106" s="1">
        <v>46113</v>
      </c>
      <c r="B106" t="s">
        <v>6</v>
      </c>
      <c r="C106" s="4">
        <v>8.4714440074045508E-2</v>
      </c>
      <c r="D106" s="4">
        <v>7.9498275928919712E-2</v>
      </c>
    </row>
    <row r="107" spans="1:4" x14ac:dyDescent="0.35">
      <c r="A107" s="1">
        <v>46113</v>
      </c>
      <c r="B107" t="s">
        <v>7</v>
      </c>
      <c r="C107" s="4">
        <v>3.7077432846179842E-2</v>
      </c>
      <c r="D107" s="4">
        <v>6.5076805521987191E-2</v>
      </c>
    </row>
    <row r="108" spans="1:4" x14ac:dyDescent="0.35">
      <c r="A108" s="1">
        <v>46113</v>
      </c>
      <c r="B108" t="s">
        <v>8</v>
      </c>
      <c r="C108" s="4">
        <v>2.9200983818726559E-2</v>
      </c>
      <c r="D108" s="4">
        <v>4.5026361892781593E-2</v>
      </c>
    </row>
    <row r="109" spans="1:4" x14ac:dyDescent="0.35">
      <c r="A109" s="1">
        <v>46113</v>
      </c>
      <c r="B109" t="s">
        <v>9</v>
      </c>
      <c r="C109" s="4">
        <v>3.2593045119731295E-2</v>
      </c>
      <c r="D109" s="4">
        <v>4.1723797351560156E-2</v>
      </c>
    </row>
    <row r="110" spans="1:4" x14ac:dyDescent="0.35">
      <c r="A110" s="1">
        <v>46113</v>
      </c>
      <c r="B110" t="s">
        <v>10</v>
      </c>
      <c r="C110" s="4">
        <v>2.4654751671552216E-2</v>
      </c>
      <c r="D110" s="4">
        <v>2.7669816515324259E-2</v>
      </c>
    </row>
    <row r="111" spans="1:4" x14ac:dyDescent="0.35">
      <c r="A111" s="1">
        <v>46113</v>
      </c>
      <c r="B111" t="s">
        <v>11</v>
      </c>
      <c r="C111" s="4">
        <v>1.624237998909115E-2</v>
      </c>
      <c r="D111" s="4">
        <v>1.9507724769862428E-2</v>
      </c>
    </row>
    <row r="112" spans="1:4" x14ac:dyDescent="0.35">
      <c r="A112" s="1">
        <v>46143</v>
      </c>
      <c r="B112" t="s">
        <v>1</v>
      </c>
      <c r="C112" s="4">
        <v>0.28053969059956529</v>
      </c>
      <c r="D112" s="4">
        <v>0.23379799702157303</v>
      </c>
    </row>
    <row r="113" spans="1:4" x14ac:dyDescent="0.35">
      <c r="A113" s="1">
        <v>46143</v>
      </c>
      <c r="B113" t="s">
        <v>2</v>
      </c>
      <c r="C113" s="4">
        <v>0.14594471845721646</v>
      </c>
      <c r="D113" s="4">
        <v>0.1236595616058361</v>
      </c>
    </row>
    <row r="114" spans="1:4" x14ac:dyDescent="0.35">
      <c r="A114" s="1">
        <v>46143</v>
      </c>
      <c r="B114" t="s">
        <v>3</v>
      </c>
      <c r="C114" s="4">
        <v>0.1284793773944326</v>
      </c>
      <c r="D114" s="4">
        <v>0.15245444394401578</v>
      </c>
    </row>
    <row r="115" spans="1:4" x14ac:dyDescent="0.35">
      <c r="A115" s="1">
        <v>46143</v>
      </c>
      <c r="B115" t="s">
        <v>4</v>
      </c>
      <c r="C115" s="4">
        <v>0.12225371360561103</v>
      </c>
      <c r="D115" s="4">
        <v>0.10307136770138021</v>
      </c>
    </row>
    <row r="116" spans="1:4" x14ac:dyDescent="0.35">
      <c r="A116" s="1">
        <v>46143</v>
      </c>
      <c r="B116" t="s">
        <v>5</v>
      </c>
      <c r="C116" s="4">
        <v>0.10352112165016367</v>
      </c>
      <c r="D116" s="4">
        <v>0.11496778882279537</v>
      </c>
    </row>
    <row r="117" spans="1:4" x14ac:dyDescent="0.35">
      <c r="A117" s="1">
        <v>46143</v>
      </c>
      <c r="B117" t="s">
        <v>6</v>
      </c>
      <c r="C117" s="4">
        <v>8.3215079061447761E-2</v>
      </c>
      <c r="D117" s="4">
        <v>8.4092421734118031E-2</v>
      </c>
    </row>
    <row r="118" spans="1:4" x14ac:dyDescent="0.35">
      <c r="A118" s="1">
        <v>46143</v>
      </c>
      <c r="B118" t="s">
        <v>7</v>
      </c>
      <c r="C118" s="4">
        <v>4.0803590931063685E-2</v>
      </c>
      <c r="D118" s="4">
        <v>6.8008198496319061E-2</v>
      </c>
    </row>
    <row r="119" spans="1:4" x14ac:dyDescent="0.35">
      <c r="A119" s="1">
        <v>46143</v>
      </c>
      <c r="B119" t="s">
        <v>8</v>
      </c>
      <c r="C119" s="4">
        <v>2.7747536085340602E-2</v>
      </c>
      <c r="D119" s="4">
        <v>5.4857320483392133E-2</v>
      </c>
    </row>
    <row r="120" spans="1:4" x14ac:dyDescent="0.35">
      <c r="A120" s="1">
        <v>46143</v>
      </c>
      <c r="B120" t="s">
        <v>9</v>
      </c>
      <c r="C120" s="4">
        <v>3.3409437643189814E-2</v>
      </c>
      <c r="D120" s="4">
        <v>3.5102823168376616E-2</v>
      </c>
    </row>
    <row r="121" spans="1:4" x14ac:dyDescent="0.35">
      <c r="A121" s="1">
        <v>46143</v>
      </c>
      <c r="B121" t="s">
        <v>10</v>
      </c>
      <c r="C121" s="4">
        <v>1.8537934841232881E-2</v>
      </c>
      <c r="D121" s="4">
        <v>1.4099924273628153E-2</v>
      </c>
    </row>
    <row r="122" spans="1:4" x14ac:dyDescent="0.35">
      <c r="A122" s="1">
        <v>46143</v>
      </c>
      <c r="B122" t="s">
        <v>11</v>
      </c>
      <c r="C122" s="4">
        <v>1.5547799730736195E-2</v>
      </c>
      <c r="D122" s="4">
        <v>1.5888152748565344E-2</v>
      </c>
    </row>
    <row r="123" spans="1:4" x14ac:dyDescent="0.35">
      <c r="A123" s="1">
        <v>46174</v>
      </c>
      <c r="B123" t="s">
        <v>1</v>
      </c>
      <c r="C123" s="4">
        <v>0.28084855368103284</v>
      </c>
      <c r="D123" s="4">
        <v>0.24238243418031705</v>
      </c>
    </row>
    <row r="124" spans="1:4" x14ac:dyDescent="0.35">
      <c r="A124" s="1">
        <v>46174</v>
      </c>
      <c r="B124" t="s">
        <v>2</v>
      </c>
      <c r="C124" s="4">
        <v>0.14087169469590488</v>
      </c>
      <c r="D124" s="4">
        <v>0.13286213762600524</v>
      </c>
    </row>
    <row r="125" spans="1:4" x14ac:dyDescent="0.35">
      <c r="A125" s="1">
        <v>46174</v>
      </c>
      <c r="B125" t="s">
        <v>3</v>
      </c>
      <c r="C125" s="4">
        <v>0.12927552651029398</v>
      </c>
      <c r="D125" s="4">
        <v>0.15411543940994116</v>
      </c>
    </row>
    <row r="126" spans="1:4" x14ac:dyDescent="0.35">
      <c r="A126" s="1">
        <v>46174</v>
      </c>
      <c r="B126" t="s">
        <v>4</v>
      </c>
      <c r="C126" s="4">
        <v>0.1233942429892963</v>
      </c>
      <c r="D126" s="4">
        <v>0.10075734794932276</v>
      </c>
    </row>
    <row r="127" spans="1:4" x14ac:dyDescent="0.35">
      <c r="A127" s="1">
        <v>46174</v>
      </c>
      <c r="B127" t="s">
        <v>5</v>
      </c>
      <c r="C127" s="4">
        <v>9.6942539853911089E-2</v>
      </c>
      <c r="D127" s="4">
        <v>0.11867513157458665</v>
      </c>
    </row>
    <row r="128" spans="1:4" x14ac:dyDescent="0.35">
      <c r="A128" s="1">
        <v>46174</v>
      </c>
      <c r="B128" t="s">
        <v>6</v>
      </c>
      <c r="C128" s="4">
        <v>8.7571181661360062E-2</v>
      </c>
      <c r="D128" s="4">
        <v>6.8026686570585956E-2</v>
      </c>
    </row>
    <row r="129" spans="1:4" x14ac:dyDescent="0.35">
      <c r="A129" s="1">
        <v>46174</v>
      </c>
      <c r="B129" t="s">
        <v>7</v>
      </c>
      <c r="C129" s="4">
        <v>4.2981909620470382E-2</v>
      </c>
      <c r="D129" s="4">
        <v>6.5971553726042062E-2</v>
      </c>
    </row>
    <row r="130" spans="1:4" x14ac:dyDescent="0.35">
      <c r="A130" s="1">
        <v>46174</v>
      </c>
      <c r="B130" t="s">
        <v>8</v>
      </c>
      <c r="C130" s="4">
        <v>2.7729919942828918E-2</v>
      </c>
      <c r="D130" s="4">
        <v>3.7915379638183866E-2</v>
      </c>
    </row>
    <row r="131" spans="1:4" x14ac:dyDescent="0.35">
      <c r="A131" s="1">
        <v>46174</v>
      </c>
      <c r="B131" t="s">
        <v>9</v>
      </c>
      <c r="C131" s="4">
        <v>3.4552862343027069E-2</v>
      </c>
      <c r="D131" s="4">
        <v>4.098560381108652E-2</v>
      </c>
    </row>
    <row r="132" spans="1:4" x14ac:dyDescent="0.35">
      <c r="A132" s="1">
        <v>46174</v>
      </c>
      <c r="B132" t="s">
        <v>10</v>
      </c>
      <c r="C132" s="4">
        <v>2.1502582243856202E-2</v>
      </c>
      <c r="D132" s="4">
        <v>2.3294957773602742E-2</v>
      </c>
    </row>
    <row r="133" spans="1:4" x14ac:dyDescent="0.35">
      <c r="A133" s="1">
        <v>46174</v>
      </c>
      <c r="B133" t="s">
        <v>11</v>
      </c>
      <c r="C133" s="4">
        <v>1.4328986458018186E-2</v>
      </c>
      <c r="D133" s="4">
        <v>1.5013327740326007E-2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D0A8-B4BD-422C-B107-CA378FC8193A}">
  <dimension ref="A1:E13"/>
  <sheetViews>
    <sheetView workbookViewId="0">
      <selection activeCell="D11" sqref="D11"/>
    </sheetView>
  </sheetViews>
  <sheetFormatPr defaultRowHeight="14.5" x14ac:dyDescent="0.35"/>
  <cols>
    <col min="1" max="1" width="9.08984375" bestFit="1" customWidth="1"/>
    <col min="2" max="2" width="13.36328125" bestFit="1" customWidth="1"/>
    <col min="3" max="3" width="13" bestFit="1" customWidth="1"/>
    <col min="4" max="4" width="16.26953125" bestFit="1" customWidth="1"/>
    <col min="5" max="5" width="12.6328125" bestFit="1" customWidth="1"/>
  </cols>
  <sheetData>
    <row r="1" spans="1:5" x14ac:dyDescent="0.35">
      <c r="A1" s="2" t="s">
        <v>0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x14ac:dyDescent="0.35">
      <c r="A2" s="1">
        <v>45839</v>
      </c>
      <c r="B2">
        <v>2450</v>
      </c>
      <c r="C2">
        <v>52.4</v>
      </c>
      <c r="D2">
        <v>2.93</v>
      </c>
      <c r="E2">
        <v>2574.3000000000002</v>
      </c>
    </row>
    <row r="3" spans="1:5" x14ac:dyDescent="0.35">
      <c r="A3" s="1">
        <v>45870</v>
      </c>
      <c r="B3">
        <v>2574.3000000000002</v>
      </c>
      <c r="C3">
        <v>35.1</v>
      </c>
      <c r="D3">
        <v>-2.57</v>
      </c>
      <c r="E3">
        <v>2543.1</v>
      </c>
    </row>
    <row r="4" spans="1:5" x14ac:dyDescent="0.35">
      <c r="A4" s="1">
        <v>45901</v>
      </c>
      <c r="B4">
        <v>2543.1</v>
      </c>
      <c r="C4">
        <v>-16.5</v>
      </c>
      <c r="D4">
        <v>5.45</v>
      </c>
      <c r="E4">
        <v>2665.3</v>
      </c>
    </row>
    <row r="5" spans="1:5" x14ac:dyDescent="0.35">
      <c r="A5" s="1">
        <v>45931</v>
      </c>
      <c r="B5">
        <v>2665.3</v>
      </c>
      <c r="C5">
        <v>69.7</v>
      </c>
      <c r="D5">
        <v>1.1499999999999999</v>
      </c>
      <c r="E5">
        <v>2765.6</v>
      </c>
    </row>
    <row r="6" spans="1:5" x14ac:dyDescent="0.35">
      <c r="A6" s="1">
        <v>45962</v>
      </c>
      <c r="B6">
        <v>2765.6</v>
      </c>
      <c r="C6">
        <v>49.3</v>
      </c>
      <c r="D6">
        <v>0.05</v>
      </c>
      <c r="E6">
        <v>2816.3</v>
      </c>
    </row>
    <row r="7" spans="1:5" x14ac:dyDescent="0.35">
      <c r="A7" s="1">
        <v>45992</v>
      </c>
      <c r="B7">
        <v>2816.3</v>
      </c>
      <c r="C7">
        <v>-39</v>
      </c>
      <c r="D7">
        <v>3.71</v>
      </c>
      <c r="E7">
        <v>2881.9</v>
      </c>
    </row>
    <row r="8" spans="1:5" x14ac:dyDescent="0.35">
      <c r="A8" s="1">
        <v>46023</v>
      </c>
      <c r="B8">
        <v>2881.9</v>
      </c>
      <c r="C8">
        <v>53.4</v>
      </c>
      <c r="D8">
        <v>-2.09</v>
      </c>
      <c r="E8">
        <v>2875</v>
      </c>
    </row>
    <row r="9" spans="1:5" x14ac:dyDescent="0.35">
      <c r="A9" s="1">
        <v>46054</v>
      </c>
      <c r="B9">
        <v>2875</v>
      </c>
      <c r="C9">
        <v>-39.5</v>
      </c>
      <c r="D9">
        <v>2.86</v>
      </c>
      <c r="E9">
        <v>2917.7</v>
      </c>
    </row>
    <row r="10" spans="1:5" x14ac:dyDescent="0.35">
      <c r="A10" s="1">
        <v>46082</v>
      </c>
      <c r="B10">
        <v>2917.7</v>
      </c>
      <c r="C10">
        <v>51.3</v>
      </c>
      <c r="D10">
        <v>-2.75</v>
      </c>
      <c r="E10">
        <v>2888.7</v>
      </c>
    </row>
    <row r="11" spans="1:5" x14ac:dyDescent="0.35">
      <c r="A11" s="1">
        <v>46113</v>
      </c>
      <c r="B11">
        <v>2888.7</v>
      </c>
      <c r="C11">
        <v>34.4</v>
      </c>
      <c r="D11">
        <v>-5.32</v>
      </c>
      <c r="E11">
        <v>2769.5</v>
      </c>
    </row>
    <row r="12" spans="1:5" x14ac:dyDescent="0.35">
      <c r="A12" s="1">
        <v>46143</v>
      </c>
      <c r="B12">
        <v>2769.5</v>
      </c>
      <c r="C12">
        <v>64.900000000000006</v>
      </c>
      <c r="D12">
        <v>5.69</v>
      </c>
      <c r="E12">
        <v>2991.8</v>
      </c>
    </row>
    <row r="13" spans="1:5" x14ac:dyDescent="0.35">
      <c r="A13" s="1">
        <v>46174</v>
      </c>
      <c r="B13">
        <v>2991.8</v>
      </c>
      <c r="C13">
        <v>76.5</v>
      </c>
      <c r="D13">
        <v>-3.34</v>
      </c>
      <c r="E13">
        <v>2968.3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6EB2-3B50-40D4-86FC-F42D0EDFED2A}">
  <dimension ref="B2:P49"/>
  <sheetViews>
    <sheetView zoomScale="51" workbookViewId="0">
      <pane ySplit="1" topLeftCell="A20" activePane="bottomLeft" state="frozen"/>
      <selection activeCell="D1" sqref="D1"/>
      <selection pane="bottomLeft" activeCell="E72" sqref="E72"/>
    </sheetView>
  </sheetViews>
  <sheetFormatPr defaultRowHeight="14.5" x14ac:dyDescent="0.35"/>
  <cols>
    <col min="1" max="1" width="3.26953125" customWidth="1"/>
    <col min="2" max="2" width="36.36328125" customWidth="1"/>
    <col min="3" max="3" width="20" customWidth="1"/>
    <col min="4" max="4" width="23.6328125" customWidth="1"/>
    <col min="5" max="5" width="20" customWidth="1"/>
    <col min="6" max="7" width="14.54296875" customWidth="1"/>
    <col min="8" max="8" width="11.81640625" customWidth="1"/>
    <col min="9" max="11" width="14.54296875" customWidth="1"/>
    <col min="14" max="16" width="12.7265625" customWidth="1"/>
  </cols>
  <sheetData>
    <row r="2" spans="2:5" ht="28" customHeight="1" x14ac:dyDescent="0.45">
      <c r="B2" s="5" t="s">
        <v>19</v>
      </c>
    </row>
    <row r="3" spans="2:5" ht="18" customHeight="1" x14ac:dyDescent="0.35">
      <c r="B3" s="6" t="s">
        <v>20</v>
      </c>
    </row>
    <row r="4" spans="2:5" ht="18" customHeight="1" x14ac:dyDescent="0.35">
      <c r="B4" s="6" t="s">
        <v>21</v>
      </c>
    </row>
    <row r="6" spans="2:5" ht="24" customHeight="1" thickBot="1" x14ac:dyDescent="0.4">
      <c r="B6" s="23" t="s">
        <v>27</v>
      </c>
      <c r="C6" s="24"/>
      <c r="D6" s="24"/>
      <c r="E6" s="24"/>
    </row>
    <row r="7" spans="2:5" x14ac:dyDescent="0.35">
      <c r="B7" s="21" t="s">
        <v>28</v>
      </c>
      <c r="C7" s="22" cm="1">
        <f t="array" aca="1" ref="C7" ca="1">PRODUCT(1+C36:C47)-1</f>
        <v>0.20232779900725029</v>
      </c>
    </row>
    <row r="8" spans="2:5" x14ac:dyDescent="0.35">
      <c r="B8" s="18" t="s">
        <v>29</v>
      </c>
      <c r="C8" s="19" cm="1">
        <f t="array" aca="1" ref="C8" ca="1">PRODUCT(1+D36:D47)-1</f>
        <v>0.20417110351090373</v>
      </c>
    </row>
    <row r="9" spans="2:5" x14ac:dyDescent="0.35">
      <c r="B9" s="18" t="s">
        <v>30</v>
      </c>
      <c r="C9" s="19">
        <f ca="1">C7-C8</f>
        <v>-1.8433045036534423E-3</v>
      </c>
    </row>
    <row r="10" spans="2:5" x14ac:dyDescent="0.35">
      <c r="B10" s="18" t="s">
        <v>31</v>
      </c>
      <c r="C10" s="19">
        <f ca="1">STDEV(C36:C47)*SQRT(12)</f>
        <v>0.10331909690692063</v>
      </c>
    </row>
    <row r="11" spans="2:5" x14ac:dyDescent="0.35">
      <c r="B11" s="18" t="s">
        <v>32</v>
      </c>
      <c r="C11" s="19">
        <f ca="1">STDEV(E36:E47)*SQRT(12)</f>
        <v>3.81303739447893E-3</v>
      </c>
    </row>
    <row r="12" spans="2:5" x14ac:dyDescent="0.35">
      <c r="B12" s="18" t="s">
        <v>33</v>
      </c>
      <c r="C12" s="20">
        <f ca="1">(C7-C8)/C11</f>
        <v>-0.4834215647406046</v>
      </c>
    </row>
    <row r="13" spans="2:5" x14ac:dyDescent="0.35">
      <c r="B13" s="18" t="s">
        <v>34</v>
      </c>
      <c r="C13" s="20">
        <f ca="1">(C7-0.05)/C10</f>
        <v>1.4743431133983025</v>
      </c>
    </row>
    <row r="14" spans="2:5" x14ac:dyDescent="0.35">
      <c r="B14" s="18" t="s">
        <v>35</v>
      </c>
      <c r="C14" s="19">
        <f ca="1">MIN(G36:G47)</f>
        <v>-2.0542144843153642E-2</v>
      </c>
    </row>
    <row r="15" spans="2:5" x14ac:dyDescent="0.35">
      <c r="B15" s="18" t="s">
        <v>36</v>
      </c>
      <c r="C15" s="19">
        <f ca="1">MAX(C36:C47)</f>
        <v>6.8464288837095919E-2</v>
      </c>
    </row>
    <row r="16" spans="2:5" x14ac:dyDescent="0.35">
      <c r="B16" s="25" t="s">
        <v>37</v>
      </c>
      <c r="C16" s="26">
        <f ca="1">MIN(C36:C47)</f>
        <v>-1.5759925320427255E-2</v>
      </c>
    </row>
    <row r="17" spans="2:5" ht="20" customHeight="1" thickBot="1" x14ac:dyDescent="0.4">
      <c r="B17" s="23"/>
      <c r="C17" s="24"/>
      <c r="D17" s="24"/>
      <c r="E17" s="24"/>
    </row>
    <row r="18" spans="2:5" ht="22" customHeight="1" x14ac:dyDescent="0.35">
      <c r="B18" s="27" t="s">
        <v>22</v>
      </c>
      <c r="C18" s="28" t="s">
        <v>23</v>
      </c>
      <c r="D18" s="28" t="s">
        <v>38</v>
      </c>
      <c r="E18" s="29" t="s">
        <v>25</v>
      </c>
    </row>
    <row r="19" spans="2:5" x14ac:dyDescent="0.35">
      <c r="B19" s="31" t="s">
        <v>40</v>
      </c>
      <c r="C19" s="12">
        <f ca="1">C36</f>
        <v>2.8639604647372145E-2</v>
      </c>
      <c r="D19" s="12">
        <f ca="1">D36</f>
        <v>2.7481447208163503E-2</v>
      </c>
      <c r="E19" s="13">
        <f ca="1">E36</f>
        <v>1.1581574392086416E-3</v>
      </c>
    </row>
    <row r="20" spans="2:5" x14ac:dyDescent="0.35">
      <c r="B20" s="32" t="s">
        <v>41</v>
      </c>
      <c r="C20" s="14">
        <f ca="1">C37</f>
        <v>-1.5263357252630614E-2</v>
      </c>
      <c r="D20" s="14">
        <f ca="1">D37</f>
        <v>-1.4731698268146229E-2</v>
      </c>
      <c r="E20" s="15">
        <f ca="1">E37</f>
        <v>-5.3165898448438546E-4</v>
      </c>
    </row>
    <row r="21" spans="2:5" x14ac:dyDescent="0.35">
      <c r="B21" s="31" t="s">
        <v>42</v>
      </c>
      <c r="C21" s="12">
        <f ca="1">C38</f>
        <v>1.2660770791188278E-2</v>
      </c>
      <c r="D21" s="12">
        <f ca="1">D38</f>
        <v>1.4031819264931109E-2</v>
      </c>
      <c r="E21" s="13">
        <f ca="1">E38</f>
        <v>-1.3710484737428311E-3</v>
      </c>
    </row>
    <row r="22" spans="2:5" x14ac:dyDescent="0.35">
      <c r="B22" s="32" t="s">
        <v>43</v>
      </c>
      <c r="C22" s="14">
        <f ca="1">C39</f>
        <v>6.7553421253172763E-2</v>
      </c>
      <c r="D22" s="14">
        <f ca="1">D39</f>
        <v>6.7089626276733372E-2</v>
      </c>
      <c r="E22" s="15">
        <f ca="1">E39</f>
        <v>4.6379497643939116E-4</v>
      </c>
    </row>
    <row r="23" spans="2:5" x14ac:dyDescent="0.35">
      <c r="B23" s="31" t="s">
        <v>44</v>
      </c>
      <c r="C23" s="12">
        <f ca="1">C40</f>
        <v>-7.8827923217004575E-3</v>
      </c>
      <c r="D23" s="12">
        <f ca="1">D40</f>
        <v>-7.1877049199908678E-3</v>
      </c>
      <c r="E23" s="13">
        <f ca="1">E40</f>
        <v>-6.9508740170958969E-4</v>
      </c>
    </row>
    <row r="24" spans="2:5" x14ac:dyDescent="0.35">
      <c r="B24" s="32" t="s">
        <v>45</v>
      </c>
      <c r="C24" s="14">
        <f ca="1">C41</f>
        <v>6.0749183116623629E-3</v>
      </c>
      <c r="D24" s="14">
        <f ca="1">D41</f>
        <v>7.1871822830335934E-3</v>
      </c>
      <c r="E24" s="15">
        <f ca="1">E41</f>
        <v>-1.1122639713712305E-3</v>
      </c>
    </row>
    <row r="25" spans="2:5" x14ac:dyDescent="0.35">
      <c r="B25" s="31" t="s">
        <v>46</v>
      </c>
      <c r="C25" s="12">
        <f ca="1">C42</f>
        <v>6.8464288837095919E-2</v>
      </c>
      <c r="D25" s="12">
        <f ca="1">D42</f>
        <v>6.7997407199152538E-2</v>
      </c>
      <c r="E25" s="13">
        <f ca="1">E42</f>
        <v>4.66881637943381E-4</v>
      </c>
    </row>
    <row r="26" spans="2:5" x14ac:dyDescent="0.35">
      <c r="B26" s="32" t="s">
        <v>47</v>
      </c>
      <c r="C26" s="14">
        <f ca="1">C43</f>
        <v>3.7319835412151135E-2</v>
      </c>
      <c r="D26" s="14">
        <f ca="1">D43</f>
        <v>3.7161807041726044E-2</v>
      </c>
      <c r="E26" s="15">
        <f ca="1">E43</f>
        <v>1.5802837042509094E-4</v>
      </c>
    </row>
    <row r="27" spans="2:5" x14ac:dyDescent="0.35">
      <c r="B27" s="31" t="s">
        <v>48</v>
      </c>
      <c r="C27" s="12">
        <f ca="1">C44</f>
        <v>-8.8816787656021915E-3</v>
      </c>
      <c r="D27" s="12">
        <f ca="1">D44</f>
        <v>-1.0863963518211809E-2</v>
      </c>
      <c r="E27" s="13">
        <f ca="1">E44</f>
        <v>1.9822847526096178E-3</v>
      </c>
    </row>
    <row r="28" spans="2:5" x14ac:dyDescent="0.35">
      <c r="B28" s="32" t="s">
        <v>49</v>
      </c>
      <c r="C28" s="14">
        <f ca="1">C45</f>
        <v>2.2371393884607047E-2</v>
      </c>
      <c r="D28" s="14">
        <f ca="1">D45</f>
        <v>2.1980639919909204E-2</v>
      </c>
      <c r="E28" s="15">
        <f ca="1">E45</f>
        <v>3.9075396469784307E-4</v>
      </c>
    </row>
    <row r="29" spans="2:5" x14ac:dyDescent="0.35">
      <c r="B29" s="31" t="s">
        <v>50</v>
      </c>
      <c r="C29" s="12">
        <f ca="1">C46</f>
        <v>-4.8587937493638697E-3</v>
      </c>
      <c r="D29" s="12">
        <f ca="1">D46</f>
        <v>-4.396560786463553E-3</v>
      </c>
      <c r="E29" s="13">
        <f ca="1">E46</f>
        <v>-4.6223296290031669E-4</v>
      </c>
    </row>
    <row r="30" spans="2:5" ht="15" thickBot="1" x14ac:dyDescent="0.4">
      <c r="B30" s="33" t="s">
        <v>51</v>
      </c>
      <c r="C30" s="16">
        <f ca="1">C47</f>
        <v>-1.5759925320427255E-2</v>
      </c>
      <c r="D30" s="16">
        <f ca="1">D47</f>
        <v>-1.388381173685338E-2</v>
      </c>
      <c r="E30" s="17">
        <f ca="1">E47</f>
        <v>-1.8761135835738754E-3</v>
      </c>
    </row>
    <row r="34" spans="2:16" hidden="1" x14ac:dyDescent="0.35">
      <c r="B34" s="30" t="s">
        <v>39</v>
      </c>
    </row>
    <row r="35" spans="2:16" hidden="1" x14ac:dyDescent="0.35">
      <c r="B35" s="7" t="s">
        <v>22</v>
      </c>
      <c r="C35" s="7" t="s">
        <v>23</v>
      </c>
      <c r="D35" s="7" t="s">
        <v>24</v>
      </c>
      <c r="E35" s="7" t="s">
        <v>25</v>
      </c>
      <c r="F35" s="7" t="s">
        <v>26</v>
      </c>
    </row>
    <row r="36" spans="2:16" hidden="1" x14ac:dyDescent="0.35">
      <c r="B36" s="8">
        <v>45839</v>
      </c>
      <c r="C36" s="4" cm="1">
        <f t="array" aca="1" ref="C36" ca="1">SUMPRODUCT(OFFSET(Raw_Weights!$C$2,0,0,11,1),TRANSPOSE(OFFSET(Raw_Returns!$B$2,0,0,1,11)))</f>
        <v>2.8639604647372145E-2</v>
      </c>
      <c r="D36" s="4" cm="1">
        <f t="array" aca="1" ref="D36" ca="1">SUMPRODUCT(OFFSET(Raw_Weights!$D$2,0,0,11,1),TRANSPOSE(OFFSET(Raw_Returns!$B$2,0,0,1,11)))</f>
        <v>2.7481447208163503E-2</v>
      </c>
      <c r="E36" s="4">
        <f ca="1">C36-D36</f>
        <v>1.1581574392086416E-3</v>
      </c>
      <c r="F36">
        <f ca="1">1+C36</f>
        <v>1.0286396046473723</v>
      </c>
      <c r="G36">
        <f ca="1">F36/MAX($F$36:F36)-1</f>
        <v>0</v>
      </c>
      <c r="H36" s="79">
        <f ca="1">1+D36</f>
        <v>1.0274814472081635</v>
      </c>
      <c r="N36" s="34" t="s">
        <v>22</v>
      </c>
      <c r="O36" s="34" t="s">
        <v>23</v>
      </c>
      <c r="P36" s="34" t="s">
        <v>38</v>
      </c>
    </row>
    <row r="37" spans="2:16" hidden="1" x14ac:dyDescent="0.35">
      <c r="B37" s="8">
        <v>45870</v>
      </c>
      <c r="C37" s="4" cm="1">
        <f t="array" aca="1" ref="C37" ca="1">SUMPRODUCT(OFFSET(Raw_Weights!$C$2,11,0,11,1),TRANSPOSE(OFFSET(Raw_Returns!$B$2,1,0,1,11)))</f>
        <v>-1.5263357252630614E-2</v>
      </c>
      <c r="D37" s="4" cm="1">
        <f t="array" aca="1" ref="D37" ca="1">SUMPRODUCT(OFFSET(Raw_Weights!$D$2,11,0,11,1),TRANSPOSE(OFFSET(Raw_Returns!$B$2,1,0,1,11)))</f>
        <v>-1.4731698268146229E-2</v>
      </c>
      <c r="E37" s="4">
        <f ca="1">C37-D37</f>
        <v>-5.3165898448438546E-4</v>
      </c>
      <c r="F37">
        <f ca="1">F36*(1+C37)</f>
        <v>1.0129391108774346</v>
      </c>
      <c r="G37">
        <f ca="1">F37/MAX($F$36:F37)-1</f>
        <v>-1.5263357252630727E-2</v>
      </c>
      <c r="H37" s="79">
        <f ca="1">H36*(1+D37)</f>
        <v>1.0123449005517746</v>
      </c>
      <c r="N37" s="80" t="s">
        <v>40</v>
      </c>
      <c r="O37" s="81">
        <f ca="1">F36-1</f>
        <v>2.8639604647372252E-2</v>
      </c>
      <c r="P37" s="81">
        <f ca="1">H36-1</f>
        <v>2.7481447208163479E-2</v>
      </c>
    </row>
    <row r="38" spans="2:16" hidden="1" x14ac:dyDescent="0.35">
      <c r="B38" s="8">
        <v>45901</v>
      </c>
      <c r="C38" s="4" cm="1">
        <f t="array" aca="1" ref="C38" ca="1">SUMPRODUCT(OFFSET(Raw_Weights!$C$2,22,0,11,1),TRANSPOSE(OFFSET(Raw_Returns!$B$2,2,0,1,11)))</f>
        <v>1.2660770791188278E-2</v>
      </c>
      <c r="D38" s="4" cm="1">
        <f t="array" aca="1" ref="D38" ca="1">SUMPRODUCT(OFFSET(Raw_Weights!$D$2,22,0,11,1),TRANSPOSE(OFFSET(Raw_Returns!$B$2,2,0,1,11)))</f>
        <v>1.4031819264931109E-2</v>
      </c>
      <c r="E38" s="4">
        <f ca="1">C38-D38</f>
        <v>-1.3710484737428311E-3</v>
      </c>
      <c r="F38">
        <f ca="1">F37*(1+C38)</f>
        <v>1.0257637007856839</v>
      </c>
      <c r="G38">
        <f ca="1">F38/MAX($F$36:F38)-1</f>
        <v>-2.79583232912195E-3</v>
      </c>
      <c r="H38" s="79">
        <f ca="1">H37*(1+D38)</f>
        <v>1.0265499412300918</v>
      </c>
      <c r="N38" s="80" t="s">
        <v>41</v>
      </c>
      <c r="O38" s="81">
        <f ca="1">F37-1</f>
        <v>1.2939110877434601E-2</v>
      </c>
      <c r="P38" s="81">
        <f ca="1">H37-1</f>
        <v>1.2344900551774618E-2</v>
      </c>
    </row>
    <row r="39" spans="2:16" hidden="1" x14ac:dyDescent="0.35">
      <c r="B39" s="8">
        <v>45931</v>
      </c>
      <c r="C39" s="4" cm="1">
        <f t="array" aca="1" ref="C39" ca="1">SUMPRODUCT(OFFSET(Raw_Weights!$C$2,33,0,11,1),TRANSPOSE(OFFSET(Raw_Returns!$B$2,3,0,1,11)))</f>
        <v>6.7553421253172763E-2</v>
      </c>
      <c r="D39" s="4" cm="1">
        <f t="array" aca="1" ref="D39" ca="1">SUMPRODUCT(OFFSET(Raw_Weights!$D$2,33,0,11,1),TRANSPOSE(OFFSET(Raw_Returns!$B$2,3,0,1,11)))</f>
        <v>6.7089626276733372E-2</v>
      </c>
      <c r="E39" s="4">
        <f ca="1">C39-D39</f>
        <v>4.6379497643939116E-4</v>
      </c>
      <c r="F39">
        <f ca="1">F38*(1+C39)</f>
        <v>1.0950575481710727</v>
      </c>
      <c r="G39">
        <f ca="1">F39/MAX($F$36:F39)-1</f>
        <v>0</v>
      </c>
      <c r="H39" s="79">
        <f ca="1">H38*(1+D39)</f>
        <v>1.0954207931416211</v>
      </c>
      <c r="N39" s="80" t="s">
        <v>42</v>
      </c>
      <c r="O39" s="81">
        <f ca="1">F38-1</f>
        <v>2.5763700785683907E-2</v>
      </c>
      <c r="P39" s="81">
        <f ca="1">H38-1</f>
        <v>2.65499412300918E-2</v>
      </c>
    </row>
    <row r="40" spans="2:16" hidden="1" x14ac:dyDescent="0.35">
      <c r="B40" s="8">
        <v>45962</v>
      </c>
      <c r="C40" s="4" cm="1">
        <f t="array" aca="1" ref="C40" ca="1">SUMPRODUCT(OFFSET(Raw_Weights!$C$2,44,0,11,1),TRANSPOSE(OFFSET(Raw_Returns!$B$2,4,0,1,11)))</f>
        <v>-7.8827923217004575E-3</v>
      </c>
      <c r="D40" s="4" cm="1">
        <f t="array" aca="1" ref="D40" ca="1">SUMPRODUCT(OFFSET(Raw_Weights!$D$2,44,0,11,1),TRANSPOSE(OFFSET(Raw_Returns!$B$2,4,0,1,11)))</f>
        <v>-7.1877049199908678E-3</v>
      </c>
      <c r="E40" s="4">
        <f ca="1">C40-D40</f>
        <v>-6.9508740170958969E-4</v>
      </c>
      <c r="F40">
        <f ca="1">F39*(1+C40)</f>
        <v>1.0864254369385298</v>
      </c>
      <c r="G40">
        <f ca="1">F40/MAX($F$36:F40)-1</f>
        <v>-7.8827923217003049E-3</v>
      </c>
      <c r="H40" s="79">
        <f ca="1">H39*(1+D40)</f>
        <v>1.0875472317172967</v>
      </c>
      <c r="N40" s="80" t="s">
        <v>43</v>
      </c>
      <c r="O40" s="81">
        <f ca="1">F39-1</f>
        <v>9.5057548171072703E-2</v>
      </c>
      <c r="P40" s="81">
        <f ca="1">H39-1</f>
        <v>9.5420793141621107E-2</v>
      </c>
    </row>
    <row r="41" spans="2:16" hidden="1" x14ac:dyDescent="0.35">
      <c r="B41" s="8">
        <v>45992</v>
      </c>
      <c r="C41" s="4" cm="1">
        <f t="array" aca="1" ref="C41" ca="1">SUMPRODUCT(OFFSET(Raw_Weights!$C$2,55,0,11,1),TRANSPOSE(OFFSET(Raw_Returns!$B$2,5,0,1,11)))</f>
        <v>6.0749183116623629E-3</v>
      </c>
      <c r="D41" s="4" cm="1">
        <f t="array" aca="1" ref="D41" ca="1">SUMPRODUCT(OFFSET(Raw_Weights!$D$2,55,0,11,1),TRANSPOSE(OFFSET(Raw_Returns!$B$2,5,0,1,11)))</f>
        <v>7.1871822830335934E-3</v>
      </c>
      <c r="E41" s="4">
        <f ca="1">C41-D41</f>
        <v>-1.1122639713712305E-3</v>
      </c>
      <c r="F41">
        <f ca="1">F40*(1+C41)</f>
        <v>1.0930253827196434</v>
      </c>
      <c r="G41">
        <f ca="1">F41/MAX($F$36:F41)-1</f>
        <v>-1.8557613294600817E-3</v>
      </c>
      <c r="H41" s="79">
        <f ca="1">H40*(1+D41)</f>
        <v>1.0953636319130575</v>
      </c>
      <c r="N41" s="80" t="s">
        <v>44</v>
      </c>
      <c r="O41" s="81">
        <f ca="1">F40-1</f>
        <v>8.6425436938529776E-2</v>
      </c>
      <c r="P41" s="81">
        <f ca="1">H40-1</f>
        <v>8.7547231717296725E-2</v>
      </c>
    </row>
    <row r="42" spans="2:16" hidden="1" x14ac:dyDescent="0.35">
      <c r="B42" s="8">
        <v>46023</v>
      </c>
      <c r="C42" s="4" cm="1">
        <f t="array" aca="1" ref="C42" ca="1">SUMPRODUCT(OFFSET(Raw_Weights!$C$2,66,0,11,1),TRANSPOSE(OFFSET(Raw_Returns!$B$2,6,0,1,11)))</f>
        <v>6.8464288837095919E-2</v>
      </c>
      <c r="D42" s="4" cm="1">
        <f t="array" aca="1" ref="D42" ca="1">SUMPRODUCT(OFFSET(Raw_Weights!$D$2,66,0,11,1),TRANSPOSE(OFFSET(Raw_Returns!$B$2,6,0,1,11)))</f>
        <v>6.7997407199152538E-2</v>
      </c>
      <c r="E42" s="4">
        <f ca="1">C42-D42</f>
        <v>4.66881637943381E-4</v>
      </c>
      <c r="F42">
        <f ca="1">F41*(1+C42)</f>
        <v>1.1678585882284385</v>
      </c>
      <c r="G42">
        <f ca="1">F42/MAX($F$36:F42)-1</f>
        <v>0</v>
      </c>
      <c r="H42" s="79">
        <f ca="1">H41*(1+D42)</f>
        <v>1.1698455188233923</v>
      </c>
      <c r="N42" s="80" t="s">
        <v>45</v>
      </c>
      <c r="O42" s="81">
        <f ca="1">F41-1</f>
        <v>9.3025382719643446E-2</v>
      </c>
      <c r="P42" s="81">
        <f ca="1">H41-1</f>
        <v>9.5363631913057523E-2</v>
      </c>
    </row>
    <row r="43" spans="2:16" hidden="1" x14ac:dyDescent="0.35">
      <c r="B43" s="8">
        <v>46054</v>
      </c>
      <c r="C43" s="4" cm="1">
        <f t="array" aca="1" ref="C43" ca="1">SUMPRODUCT(OFFSET(Raw_Weights!$C$2,77,0,11,1),TRANSPOSE(OFFSET(Raw_Returns!$B$2,7,0,1,11)))</f>
        <v>3.7319835412151135E-2</v>
      </c>
      <c r="D43" s="4" cm="1">
        <f t="array" aca="1" ref="D43" ca="1">SUMPRODUCT(OFFSET(Raw_Weights!$D$2,77,0,11,1),TRANSPOSE(OFFSET(Raw_Returns!$B$2,7,0,1,11)))</f>
        <v>3.7161807041726044E-2</v>
      </c>
      <c r="E43" s="4">
        <f ca="1">C43-D43</f>
        <v>1.5802837042509094E-4</v>
      </c>
      <c r="F43">
        <f ca="1">F42*(1+C43)</f>
        <v>1.2114428785257909</v>
      </c>
      <c r="G43">
        <f ca="1">F43/MAX($F$36:F43)-1</f>
        <v>0</v>
      </c>
      <c r="H43" s="79">
        <f ca="1">H42*(1+D43)</f>
        <v>1.2133190922625352</v>
      </c>
      <c r="N43" s="80" t="s">
        <v>46</v>
      </c>
      <c r="O43" s="81">
        <f ca="1">F42-1</f>
        <v>0.16785858822843847</v>
      </c>
      <c r="P43" s="81">
        <f ca="1">H42-1</f>
        <v>0.16984551882339227</v>
      </c>
    </row>
    <row r="44" spans="2:16" hidden="1" x14ac:dyDescent="0.35">
      <c r="B44" s="8">
        <v>46082</v>
      </c>
      <c r="C44" s="4" cm="1">
        <f t="array" aca="1" ref="C44" ca="1">SUMPRODUCT(OFFSET(Raw_Weights!$C$2,88,0,11,1),TRANSPOSE(OFFSET(Raw_Returns!$B$2,8,0,1,11)))</f>
        <v>-8.8816787656021915E-3</v>
      </c>
      <c r="D44" s="4" cm="1">
        <f t="array" aca="1" ref="D44" ca="1">SUMPRODUCT(OFFSET(Raw_Weights!$D$2,88,0,11,1),TRANSPOSE(OFFSET(Raw_Returns!$B$2,8,0,1,11)))</f>
        <v>-1.0863963518211809E-2</v>
      </c>
      <c r="E44" s="4">
        <f ca="1">C44-D44</f>
        <v>1.9822847526096178E-3</v>
      </c>
      <c r="F44">
        <f ca="1">F43*(1+C44)</f>
        <v>1.2006832320358485</v>
      </c>
      <c r="G44">
        <f ca="1">F44/MAX($F$36:F44)-1</f>
        <v>-8.8816787656020857E-3</v>
      </c>
      <c r="H44" s="79">
        <f ca="1">H43*(1+D44)</f>
        <v>1.2001376379082451</v>
      </c>
      <c r="N44" s="80" t="s">
        <v>47</v>
      </c>
      <c r="O44" s="81">
        <f ca="1">F43-1</f>
        <v>0.21144287852579091</v>
      </c>
      <c r="P44" s="81">
        <f ca="1">H43-1</f>
        <v>0.2133190922625352</v>
      </c>
    </row>
    <row r="45" spans="2:16" hidden="1" x14ac:dyDescent="0.35">
      <c r="B45" s="8">
        <v>46113</v>
      </c>
      <c r="C45" s="4" cm="1">
        <f t="array" aca="1" ref="C45" ca="1">SUMPRODUCT(OFFSET(Raw_Weights!$C$2,99,0,11,1),TRANSPOSE(OFFSET(Raw_Returns!$B$2,9,0,1,11)))</f>
        <v>2.2371393884607047E-2</v>
      </c>
      <c r="D45" s="4" cm="1">
        <f t="array" aca="1" ref="D45" ca="1">SUMPRODUCT(OFFSET(Raw_Weights!$D$2,99,0,11,1),TRANSPOSE(OFFSET(Raw_Returns!$B$2,9,0,1,11)))</f>
        <v>2.1980639919909204E-2</v>
      </c>
      <c r="E45" s="4">
        <f ca="1">C45-D45</f>
        <v>3.9075396469784307E-4</v>
      </c>
      <c r="F45">
        <f ca="1">F44*(1+C45)</f>
        <v>1.2275441895503656</v>
      </c>
      <c r="G45">
        <f ca="1">F45/MAX($F$36:F45)-1</f>
        <v>0</v>
      </c>
      <c r="H45" s="79">
        <f ca="1">H44*(1+D45)</f>
        <v>1.2265174311814366</v>
      </c>
      <c r="N45" s="80" t="s">
        <v>48</v>
      </c>
      <c r="O45" s="81">
        <f ca="1">F44-1</f>
        <v>0.20068323203584848</v>
      </c>
      <c r="P45" s="81">
        <f ca="1">H44-1</f>
        <v>0.20013763790824513</v>
      </c>
    </row>
    <row r="46" spans="2:16" hidden="1" x14ac:dyDescent="0.35">
      <c r="B46" s="8">
        <v>46143</v>
      </c>
      <c r="C46" s="4" cm="1">
        <f t="array" aca="1" ref="C46" ca="1">SUMPRODUCT(OFFSET(Raw_Weights!$C$2,110,0,11,1),TRANSPOSE(OFFSET(Raw_Returns!$B$2,10,0,1,11)))</f>
        <v>-4.8587937493638697E-3</v>
      </c>
      <c r="D46" s="4" cm="1">
        <f t="array" aca="1" ref="D46" ca="1">SUMPRODUCT(OFFSET(Raw_Weights!$D$2,110,0,11,1),TRANSPOSE(OFFSET(Raw_Returns!$B$2,10,0,1,11)))</f>
        <v>-4.396560786463553E-3</v>
      </c>
      <c r="E46" s="4">
        <f ca="1">C46-D46</f>
        <v>-4.6223296290031669E-4</v>
      </c>
      <c r="F46">
        <f ca="1">F45*(1+C46)</f>
        <v>1.2215798055151104</v>
      </c>
      <c r="G46">
        <f ca="1">F46/MAX($F$36:F46)-1</f>
        <v>-4.8587937493638211E-3</v>
      </c>
      <c r="H46" s="79">
        <f ca="1">H45*(1+D46)</f>
        <v>1.2211249727395903</v>
      </c>
      <c r="N46" s="80" t="s">
        <v>49</v>
      </c>
      <c r="O46" s="81">
        <f ca="1">F45-1</f>
        <v>0.22754418955036559</v>
      </c>
      <c r="P46" s="81">
        <f ca="1">H45-1</f>
        <v>0.22651743118143663</v>
      </c>
    </row>
    <row r="47" spans="2:16" hidden="1" x14ac:dyDescent="0.35">
      <c r="B47" s="8">
        <v>46174</v>
      </c>
      <c r="C47" s="4" cm="1">
        <f t="array" aca="1" ref="C47" ca="1">SUMPRODUCT(OFFSET(Raw_Weights!$C$2,121,0,11,1),TRANSPOSE(OFFSET(Raw_Returns!$B$2,11,0,1,11)))</f>
        <v>-1.5759925320427255E-2</v>
      </c>
      <c r="D47" s="4" cm="1">
        <f t="array" aca="1" ref="D47" ca="1">SUMPRODUCT(OFFSET(Raw_Weights!$D$2,121,0,11,1),TRANSPOSE(OFFSET(Raw_Returns!$B$2,11,0,1,11)))</f>
        <v>-1.388381173685338E-2</v>
      </c>
      <c r="E47" s="4">
        <f ca="1">C47-D47</f>
        <v>-1.8761135835738754E-3</v>
      </c>
      <c r="F47">
        <f ca="1">F46*(1+C47)</f>
        <v>1.2023277990072503</v>
      </c>
      <c r="G47">
        <f ca="1">F47/MAX($F$36:F47)-1</f>
        <v>-2.0542144843153642E-2</v>
      </c>
      <c r="H47" s="79">
        <f ca="1">H46*(1+D47)</f>
        <v>1.2041711035109037</v>
      </c>
      <c r="N47" s="80" t="s">
        <v>50</v>
      </c>
      <c r="O47" s="81">
        <f ca="1">F46-1</f>
        <v>0.22157980551511036</v>
      </c>
      <c r="P47" s="81">
        <f ca="1">H46-1</f>
        <v>0.22112497273959031</v>
      </c>
    </row>
    <row r="48" spans="2:16" hidden="1" x14ac:dyDescent="0.35">
      <c r="N48" s="80" t="s">
        <v>51</v>
      </c>
      <c r="O48" s="81">
        <f ca="1">F47-1</f>
        <v>0.20232779900725029</v>
      </c>
      <c r="P48" s="81">
        <f ca="1">H47-1</f>
        <v>0.20417110351090373</v>
      </c>
    </row>
    <row r="49" spans="14:16" x14ac:dyDescent="0.35">
      <c r="N49" s="36"/>
      <c r="O49" s="36"/>
      <c r="P49" s="36"/>
    </row>
  </sheetData>
  <conditionalFormatting sqref="E19:E30">
    <cfRule type="cellIs" dxfId="11" priority="1" operator="greaterThan">
      <formula>0</formula>
    </cfRule>
  </conditionalFormatting>
  <conditionalFormatting sqref="E19:E30">
    <cfRule type="cellIs" dxfId="10" priority="2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1156-2A41-4169-8DBC-D2C7598D1060}">
  <dimension ref="B1:U182"/>
  <sheetViews>
    <sheetView topLeftCell="B18" zoomScale="72" workbookViewId="0">
      <selection activeCell="H45" sqref="H45"/>
    </sheetView>
  </sheetViews>
  <sheetFormatPr defaultRowHeight="14.5" x14ac:dyDescent="0.35"/>
  <cols>
    <col min="1" max="1" width="2.90625" customWidth="1"/>
    <col min="2" max="2" width="31.81640625" customWidth="1"/>
    <col min="3" max="3" width="15.453125" customWidth="1"/>
    <col min="4" max="4" width="14.54296875" customWidth="1"/>
    <col min="5" max="5" width="13.6328125" customWidth="1"/>
    <col min="6" max="6" width="20" customWidth="1"/>
    <col min="7" max="7" width="19.08984375" customWidth="1"/>
    <col min="8" max="8" width="20.90625" customWidth="1"/>
    <col min="9" max="9" width="17.26953125" customWidth="1"/>
    <col min="10" max="10" width="47.6328125" bestFit="1" customWidth="1"/>
    <col min="11" max="18" width="12.7265625" customWidth="1"/>
    <col min="20" max="20" width="27.26953125" customWidth="1"/>
    <col min="21" max="21" width="12.7265625" customWidth="1"/>
  </cols>
  <sheetData>
    <row r="1" spans="2:21" x14ac:dyDescent="0.35">
      <c r="J1" s="34" t="s">
        <v>52</v>
      </c>
      <c r="T1" s="82" t="s">
        <v>53</v>
      </c>
      <c r="U1" s="82" t="s">
        <v>62</v>
      </c>
    </row>
    <row r="2" spans="2:21" ht="26" customHeight="1" x14ac:dyDescent="0.45">
      <c r="B2" s="5" t="s">
        <v>63</v>
      </c>
      <c r="J2" s="35" t="s">
        <v>53</v>
      </c>
      <c r="K2" s="35" t="s">
        <v>54</v>
      </c>
      <c r="T2" s="83" t="str">
        <f>B6</f>
        <v>Consumer Staples</v>
      </c>
      <c r="U2" s="84">
        <f ca="1">I6</f>
        <v>2.7677510608578757E-3</v>
      </c>
    </row>
    <row r="3" spans="2:21" ht="18" customHeight="1" x14ac:dyDescent="0.35">
      <c r="B3" s="6" t="s">
        <v>64</v>
      </c>
      <c r="J3" s="37" t="s">
        <v>1</v>
      </c>
      <c r="K3" s="38">
        <v>1E-3</v>
      </c>
      <c r="T3" s="83" t="str">
        <f>B7</f>
        <v>Financials</v>
      </c>
      <c r="U3" s="84">
        <f ca="1">I7</f>
        <v>2.0676331803156601E-3</v>
      </c>
    </row>
    <row r="4" spans="2:21" x14ac:dyDescent="0.35">
      <c r="B4" s="50"/>
      <c r="C4" s="50"/>
      <c r="D4" s="50"/>
      <c r="E4" s="50"/>
      <c r="F4" s="50"/>
      <c r="G4" s="50"/>
      <c r="H4" s="50"/>
      <c r="I4" s="50"/>
      <c r="J4" s="37" t="s">
        <v>2</v>
      </c>
      <c r="K4" s="38">
        <v>5.0000000000000001E-4</v>
      </c>
      <c r="T4" s="83" t="str">
        <f>B8</f>
        <v>Consumer Discretionary</v>
      </c>
      <c r="U4" s="84">
        <f ca="1">I8</f>
        <v>2.0316350232844199E-3</v>
      </c>
    </row>
    <row r="5" spans="2:21" ht="24" customHeight="1" x14ac:dyDescent="0.35">
      <c r="B5" s="49" t="s">
        <v>53</v>
      </c>
      <c r="C5" s="28" t="s">
        <v>65</v>
      </c>
      <c r="D5" s="28" t="s">
        <v>66</v>
      </c>
      <c r="E5" s="28" t="s">
        <v>67</v>
      </c>
      <c r="F5" s="28" t="s">
        <v>68</v>
      </c>
      <c r="G5" s="28" t="s">
        <v>69</v>
      </c>
      <c r="H5" s="28" t="s">
        <v>70</v>
      </c>
      <c r="I5" s="29" t="s">
        <v>62</v>
      </c>
      <c r="J5" s="37" t="s">
        <v>3</v>
      </c>
      <c r="K5" s="38">
        <v>1E-3</v>
      </c>
      <c r="T5" s="83" t="str">
        <f>B9</f>
        <v>Information Technology</v>
      </c>
      <c r="U5" s="84">
        <f ca="1">I9</f>
        <v>9.145847058657276E-4</v>
      </c>
    </row>
    <row r="6" spans="2:21" ht="20" customHeight="1" x14ac:dyDescent="0.35">
      <c r="B6" s="46" t="s">
        <v>7</v>
      </c>
      <c r="C6" s="12">
        <f>AVERAGEIFS(Raw_Weights!$C:$C,Raw_Weights!$B:$B,"Consumer Staples")</f>
        <v>4.0037892746970463E-2</v>
      </c>
      <c r="D6" s="12">
        <f>AVERAGEIFS(Raw_Weights!$D:$D,Raw_Weights!$B:$B,"Consumer Staples")</f>
        <v>6.6416904536469021E-2</v>
      </c>
      <c r="E6" s="12">
        <f>C6-D6</f>
        <v>-2.6379011789498558E-2</v>
      </c>
      <c r="F6" s="12">
        <f ca="1">O24+O38+O52+O66+O80+O94+O108+O122+O136+O150+O164+O178</f>
        <v>2.2872963478942298E-3</v>
      </c>
      <c r="G6" s="12">
        <f ca="1">P24+P38+P52+P66+P80+P94+P108+P122+P136+P150+P164+P178</f>
        <v>7.9700285443762839E-4</v>
      </c>
      <c r="H6" s="12">
        <f ca="1">Q24+Q38+Q52+Q66+Q80+Q94+Q108+Q122+Q136+Q150+Q164+Q178</f>
        <v>-3.1654814147398275E-4</v>
      </c>
      <c r="I6" s="13">
        <f ca="1">F6+G6+H6</f>
        <v>2.7677510608578757E-3</v>
      </c>
      <c r="J6" s="37" t="s">
        <v>4</v>
      </c>
      <c r="K6" s="38">
        <v>2.9999999999999997E-4</v>
      </c>
      <c r="T6" s="83" t="str">
        <f>B10</f>
        <v>Communication Services</v>
      </c>
      <c r="U6" s="84">
        <f ca="1">I10</f>
        <v>7.0947571218809007E-4</v>
      </c>
    </row>
    <row r="7" spans="2:21" ht="20" customHeight="1" x14ac:dyDescent="0.35">
      <c r="B7" s="47" t="s">
        <v>3</v>
      </c>
      <c r="C7" s="14">
        <f>AVERAGEIFS(Raw_Weights!$C:$C,Raw_Weights!$B:$B,"Financials")</f>
        <v>0.12931256361647689</v>
      </c>
      <c r="D7" s="14">
        <f>AVERAGEIFS(Raw_Weights!$D:$D,Raw_Weights!$B:$B,"Financials")</f>
        <v>0.15259930759924673</v>
      </c>
      <c r="E7" s="14">
        <f>C7-D7</f>
        <v>-2.3286743982769836E-2</v>
      </c>
      <c r="F7" s="14">
        <f ca="1">O20+O34+O48+O62+O76+O90+O104+O118+O132+O146+O160+O174</f>
        <v>5.1588241691793773E-4</v>
      </c>
      <c r="G7" s="14">
        <f ca="1">P20+P34+P48+P62+P76+P90+P104+P118+P132+P146+P160+P174</f>
        <v>1.8311916911909604E-3</v>
      </c>
      <c r="H7" s="14">
        <f ca="1">Q20+Q34+Q48+Q62+Q76+Q90+Q104+Q118+Q132+Q146+Q160+Q174</f>
        <v>-2.7944092779323774E-4</v>
      </c>
      <c r="I7" s="15">
        <f ca="1">F7+G7+H7</f>
        <v>2.0676331803156601E-3</v>
      </c>
      <c r="J7" s="37" t="s">
        <v>5</v>
      </c>
      <c r="K7" s="38">
        <v>-2.0000000000000001E-4</v>
      </c>
      <c r="T7" s="83" t="str">
        <f>B11</f>
        <v>Health Care</v>
      </c>
      <c r="U7" s="84">
        <f ca="1">I11</f>
        <v>5.0655077984674982E-4</v>
      </c>
    </row>
    <row r="8" spans="2:21" ht="20" customHeight="1" x14ac:dyDescent="0.35">
      <c r="B8" s="46" t="s">
        <v>4</v>
      </c>
      <c r="C8" s="12">
        <f>AVERAGEIFS(Raw_Weights!$C:$C,Raw_Weights!$B:$B,"Consumer Discretionary")</f>
        <v>0.12058503675858993</v>
      </c>
      <c r="D8" s="12">
        <f>AVERAGEIFS(Raw_Weights!$D:$D,Raw_Weights!$B:$B,"Consumer Discretionary")</f>
        <v>0.10406776511022708</v>
      </c>
      <c r="E8" s="12">
        <f>C8-D8</f>
        <v>1.651727164836285E-2</v>
      </c>
      <c r="F8" s="12">
        <f ca="1">O21+O35+O49+O63+O77+O91+O105+O119+O133+O147+O161+O175</f>
        <v>1.5975288909534963E-3</v>
      </c>
      <c r="G8" s="12">
        <f ca="1">P21+P35+P49+P63+P77+P91+P105+P119+P133+P147+P161+P175</f>
        <v>3.7464395439681757E-4</v>
      </c>
      <c r="H8" s="12">
        <f ca="1">Q21+Q35+Q49+Q63+Q77+Q91+Q105+Q119+Q133+Q147+Q161+Q175</f>
        <v>5.9462177934106096E-5</v>
      </c>
      <c r="I8" s="13">
        <f ca="1">F8+G8+H8</f>
        <v>2.0316350232844199E-3</v>
      </c>
      <c r="J8" s="37" t="s">
        <v>6</v>
      </c>
      <c r="K8" s="38">
        <v>8.0000000000000004E-4</v>
      </c>
      <c r="T8" s="83" t="str">
        <f>B12</f>
        <v>Real Estate</v>
      </c>
      <c r="U8" s="84">
        <f ca="1">I12</f>
        <v>2.3177190475369845E-4</v>
      </c>
    </row>
    <row r="9" spans="2:21" ht="20" customHeight="1" x14ac:dyDescent="0.35">
      <c r="B9" s="47" t="s">
        <v>1</v>
      </c>
      <c r="C9" s="14">
        <f>AVERAGEIFS(Raw_Weights!$C:$C,Raw_Weights!$B:$B,"Information Technology")</f>
        <v>0.28008004615406396</v>
      </c>
      <c r="D9" s="14">
        <f>AVERAGEIFS(Raw_Weights!$D:$D,Raw_Weights!$B:$B,"Information Technology")</f>
        <v>0.23489493644619017</v>
      </c>
      <c r="E9" s="14">
        <f>C9-D9</f>
        <v>4.5185109707873788E-2</v>
      </c>
      <c r="F9" s="14">
        <f ca="1">O18+O32+O46+O60+O74+O88+O102+O116+O130+O144+O158+O172</f>
        <v>-2.4463758479830399E-3</v>
      </c>
      <c r="G9" s="14">
        <f ca="1">P18+P32+P46+P60+P74+P88+P102+P116+P130+P144+P158+P172</f>
        <v>2.8187392373542814E-3</v>
      </c>
      <c r="H9" s="14">
        <f ca="1">Q18+Q32+Q46+Q60+Q74+Q88+Q102+Q116+Q130+Q144+Q158+Q172</f>
        <v>5.4222131649448607E-4</v>
      </c>
      <c r="I9" s="15">
        <f ca="1">F9+G9+H9</f>
        <v>9.145847058657276E-4</v>
      </c>
      <c r="J9" s="37" t="s">
        <v>7</v>
      </c>
      <c r="K9" s="38">
        <v>1E-3</v>
      </c>
      <c r="T9" s="83" t="str">
        <f>B13</f>
        <v>Utilities</v>
      </c>
      <c r="U9" s="84">
        <f ca="1">I13</f>
        <v>-1.0233547779675988E-4</v>
      </c>
    </row>
    <row r="10" spans="2:21" ht="20" customHeight="1" x14ac:dyDescent="0.35">
      <c r="B10" s="46" t="s">
        <v>6</v>
      </c>
      <c r="C10" s="12">
        <f>AVERAGEIFS(Raw_Weights!$C:$C,Raw_Weights!$B:$B,"Communication Services")</f>
        <v>8.4120661795652599E-2</v>
      </c>
      <c r="D10" s="12">
        <f>AVERAGEIFS(Raw_Weights!$D:$D,Raw_Weights!$B:$B,"Communication Services")</f>
        <v>7.6620812574700062E-2</v>
      </c>
      <c r="E10" s="12">
        <f>C10-D10</f>
        <v>7.4998492209525369E-3</v>
      </c>
      <c r="F10" s="12">
        <f ca="1">O23+O37+O51+O65+O79+O93+O107+O121+O135+O149+O163+O177</f>
        <v>-9.8082641050175197E-5</v>
      </c>
      <c r="G10" s="12">
        <f ca="1">P23+P37+P51+P65+P79+P93+P107+P121+P135+P149+P163+P177</f>
        <v>7.3555980071712086E-4</v>
      </c>
      <c r="H10" s="12">
        <f ca="1">Q23+Q37+Q51+Q65+Q79+Q93+Q107+Q121+Q135+Q149+Q163+Q177</f>
        <v>7.1998552521144367E-5</v>
      </c>
      <c r="I10" s="13">
        <f ca="1">F10+G10+H10</f>
        <v>7.0947571218809007E-4</v>
      </c>
      <c r="J10" s="37" t="s">
        <v>8</v>
      </c>
      <c r="K10" s="38">
        <v>5.0000000000000001E-4</v>
      </c>
      <c r="T10" s="83" t="str">
        <f>B14</f>
        <v>Energy</v>
      </c>
      <c r="U10" s="84">
        <f ca="1">I14</f>
        <v>-6.7197676950694061E-4</v>
      </c>
    </row>
    <row r="11" spans="2:21" ht="20" customHeight="1" x14ac:dyDescent="0.35">
      <c r="B11" s="47" t="s">
        <v>2</v>
      </c>
      <c r="C11" s="14">
        <f>AVERAGEIFS(Raw_Weights!$C:$C,Raw_Weights!$B:$B,"Health Care")</f>
        <v>0.14473740110115793</v>
      </c>
      <c r="D11" s="14">
        <f>AVERAGEIFS(Raw_Weights!$D:$D,Raw_Weights!$B:$B,"Health Care")</f>
        <v>0.12524307531525711</v>
      </c>
      <c r="E11" s="14">
        <f>C11-D11</f>
        <v>1.9494325785900823E-2</v>
      </c>
      <c r="F11" s="14">
        <f ca="1">O19+O33+O47+O61+O75+O89+O103+O117+O131+O145+O159+O173</f>
        <v>-3.6187362676019796E-4</v>
      </c>
      <c r="G11" s="14">
        <f ca="1">P19+P33+P47+P61+P75+P89+P103+P117+P131+P145+P159+P173</f>
        <v>7.5145845189154284E-4</v>
      </c>
      <c r="H11" s="14">
        <f ca="1">Q19+Q33+Q47+Q61+Q75+Q89+Q103+Q117+Q131+Q145+Q159+Q173</f>
        <v>1.16965954715405E-4</v>
      </c>
      <c r="I11" s="15">
        <f ca="1">F11+G11+H11</f>
        <v>5.0655077984674982E-4</v>
      </c>
      <c r="J11" s="37" t="s">
        <v>9</v>
      </c>
      <c r="K11" s="38">
        <v>-2.9999999999999997E-4</v>
      </c>
      <c r="T11" s="83" t="str">
        <f>B15</f>
        <v>Materials</v>
      </c>
      <c r="U11" s="84">
        <f ca="1">I15</f>
        <v>-9.2029522093468451E-4</v>
      </c>
    </row>
    <row r="12" spans="2:21" ht="20" customHeight="1" x14ac:dyDescent="0.35">
      <c r="B12" s="46" t="s">
        <v>11</v>
      </c>
      <c r="C12" s="12">
        <f>AVERAGEIFS(Raw_Weights!$C:$C,Raw_Weights!$B:$B,"Real Estate")</f>
        <v>1.66459168639452E-2</v>
      </c>
      <c r="D12" s="12">
        <f>AVERAGEIFS(Raw_Weights!$D:$D,Raw_Weights!$B:$B,"Real Estate")</f>
        <v>2.0256556272591122E-2</v>
      </c>
      <c r="E12" s="12">
        <f>C12-D12</f>
        <v>-3.6106394086459215E-3</v>
      </c>
      <c r="F12" s="12">
        <f ca="1">O28+O42+O56+O70+O84+O98+O112+O126+O140+O154+O168+O182</f>
        <v>2.1179680451696421E-4</v>
      </c>
      <c r="G12" s="12">
        <f ca="1">P28+P42+P56+P70+P84+P98+P112+P126+P140+P154+P168+P182</f>
        <v>2.430786752710935E-5</v>
      </c>
      <c r="H12" s="12">
        <f ca="1">Q28+Q42+Q56+Q70+Q84+Q98+Q112+Q126+Q140+Q154+Q168+Q182</f>
        <v>-4.3327672903751077E-6</v>
      </c>
      <c r="I12" s="13">
        <f ca="1">F12+G12+H12</f>
        <v>2.3177190475369845E-4</v>
      </c>
      <c r="J12" s="37" t="s">
        <v>10</v>
      </c>
      <c r="K12" s="38">
        <v>2.0000000000000001E-4</v>
      </c>
      <c r="T12" s="83" t="str">
        <f>B16</f>
        <v>Industrials</v>
      </c>
      <c r="U12" s="84">
        <f ca="1">I16</f>
        <v>-1.5744273275950693E-3</v>
      </c>
    </row>
    <row r="13" spans="2:21" ht="20" customHeight="1" x14ac:dyDescent="0.35">
      <c r="B13" s="47" t="s">
        <v>10</v>
      </c>
      <c r="C13" s="14">
        <f>AVERAGEIFS(Raw_Weights!$C:$C,Raw_Weights!$B:$B,"Utilities")</f>
        <v>2.0467929277851332E-2</v>
      </c>
      <c r="D13" s="14">
        <f>AVERAGEIFS(Raw_Weights!$D:$D,Raw_Weights!$B:$B,"Utilities")</f>
        <v>2.4934590603627196E-2</v>
      </c>
      <c r="E13" s="14">
        <f>C13-D13</f>
        <v>-4.4666613257758649E-3</v>
      </c>
      <c r="F13" s="14">
        <f ca="1">O27+O41+O55+O69+O83+O97+O111+O125+O139+O153+O167+O181</f>
        <v>-1.5145850806360308E-4</v>
      </c>
      <c r="G13" s="14">
        <f ca="1">P27+P41+P55+P69+P83+P97+P111+P125+P139+P153+P167+P181</f>
        <v>5.9843017448705278E-5</v>
      </c>
      <c r="H13" s="14">
        <f ca="1">Q27+Q41+Q55+Q69+Q83+Q97+Q111+Q125+Q139+Q153+Q167+Q181</f>
        <v>-1.0719987181862084E-5</v>
      </c>
      <c r="I13" s="15">
        <f ca="1">F13+G13+H13</f>
        <v>-1.0233547779675988E-4</v>
      </c>
      <c r="J13" s="37" t="s">
        <v>11</v>
      </c>
      <c r="K13" s="38">
        <v>1E-4</v>
      </c>
    </row>
    <row r="14" spans="2:21" ht="20" customHeight="1" x14ac:dyDescent="0.35">
      <c r="B14" s="46" t="s">
        <v>8</v>
      </c>
      <c r="C14" s="12">
        <f>AVERAGEIFS(Raw_Weights!$C:$C,Raw_Weights!$B:$B,"Energy")</f>
        <v>2.9913076720939274E-2</v>
      </c>
      <c r="D14" s="12">
        <f>AVERAGEIFS(Raw_Weights!$D:$D,Raw_Weights!$B:$B,"Energy")</f>
        <v>4.5352640489704332E-2</v>
      </c>
      <c r="E14" s="12">
        <f>C14-D14</f>
        <v>-1.5439563768765058E-2</v>
      </c>
      <c r="F14" s="12">
        <f ca="1">O25+O39+O53+O67+O81+O95+O109+O123+O137+O151+O165+O179</f>
        <v>-8.5145522983257624E-4</v>
      </c>
      <c r="G14" s="12">
        <f ca="1">P25+P39+P53+P67+P81+P95+P109+P123+P137+P151+P165+P179</f>
        <v>2.7211584293822597E-4</v>
      </c>
      <c r="H14" s="12">
        <f ca="1">Q25+Q39+Q53+Q67+Q81+Q95+Q109+Q123+Q137+Q151+Q165+Q179</f>
        <v>-9.2637382612590347E-5</v>
      </c>
      <c r="I14" s="13">
        <f ca="1">F14+G14+H14</f>
        <v>-6.7197676950694061E-4</v>
      </c>
      <c r="J14" s="51" t="s">
        <v>72</v>
      </c>
    </row>
    <row r="15" spans="2:21" ht="20" customHeight="1" x14ac:dyDescent="0.35">
      <c r="B15" s="47" t="s">
        <v>9</v>
      </c>
      <c r="C15" s="14">
        <f>AVERAGEIFS(Raw_Weights!$C:$C,Raw_Weights!$B:$B,"Materials")</f>
        <v>3.4267471303306631E-2</v>
      </c>
      <c r="D15" s="14">
        <f>AVERAGEIFS(Raw_Weights!$D:$D,Raw_Weights!$B:$B,"Materials")</f>
        <v>3.9542426594067516E-2</v>
      </c>
      <c r="E15" s="14">
        <f>C15-D15</f>
        <v>-5.2749552907608854E-3</v>
      </c>
      <c r="F15" s="14">
        <f ca="1">O26+O40+O54+O68+O82+O96+O110+O124+O138+O152+O166+O180</f>
        <v>-7.9693232424278061E-4</v>
      </c>
      <c r="G15" s="14">
        <f ca="1">P26+P40+P54+P68+P82+P96+P110+P124+P138+P152+P166+P180</f>
        <v>-1.4235273573864305E-4</v>
      </c>
      <c r="H15" s="14">
        <f ca="1">Q26+Q40+Q54+Q68+Q82+Q96+Q110+Q124+Q138+Q152+Q166+Q180</f>
        <v>1.8989839046739203E-5</v>
      </c>
      <c r="I15" s="15">
        <f ca="1">F15+G15+H15</f>
        <v>-9.2029522093468451E-4</v>
      </c>
    </row>
    <row r="16" spans="2:21" ht="20" customHeight="1" x14ac:dyDescent="0.35">
      <c r="B16" s="46" t="s">
        <v>5</v>
      </c>
      <c r="C16" s="12">
        <f>AVERAGEIFS(Raw_Weights!$C:$C,Raw_Weights!$B:$B,"Industrials")</f>
        <v>9.9832003661045735E-2</v>
      </c>
      <c r="D16" s="12">
        <f>AVERAGEIFS(Raw_Weights!$D:$D,Raw_Weights!$B:$B,"Industrials")</f>
        <v>0.11007098445791964</v>
      </c>
      <c r="E16" s="12">
        <f>C16-D16</f>
        <v>-1.0238980796873909E-2</v>
      </c>
      <c r="F16" s="12">
        <f ca="1">O22+O36+O50+O64+O78+O92+O106+O120+O134+O148+O162+O176</f>
        <v>-1.3348305188085594E-3</v>
      </c>
      <c r="G16" s="12">
        <f ca="1">P22+P36+P50+P64+P78+P92+P106+P120+P134+P148+P162+P176</f>
        <v>-2.6417036269900721E-4</v>
      </c>
      <c r="H16" s="12">
        <f ca="1">Q22+Q36+Q50+Q64+Q78+Q92+Q106+Q120+Q134+Q148+Q162+Q176</f>
        <v>2.4573553912497362E-5</v>
      </c>
      <c r="I16" s="13">
        <f ca="1">F16+G16+H16</f>
        <v>-1.5744273275950693E-3</v>
      </c>
      <c r="J16" s="39">
        <v>45839</v>
      </c>
    </row>
    <row r="17" spans="2:18" ht="15" thickBot="1" x14ac:dyDescent="0.4">
      <c r="B17" s="48" t="s">
        <v>71</v>
      </c>
      <c r="C17" s="42"/>
      <c r="D17" s="42"/>
      <c r="E17" s="42"/>
      <c r="F17" s="43">
        <f ca="1">SUM(F6:F16)</f>
        <v>-1.4285042364583038E-3</v>
      </c>
      <c r="G17" s="43">
        <f ca="1">SUM(G6:G16)</f>
        <v>7.2583396194647433E-3</v>
      </c>
      <c r="H17" s="43">
        <f ca="1">SUM(H6:H16)</f>
        <v>1.3053218827233003E-4</v>
      </c>
      <c r="I17" s="44">
        <f ca="1">SUM(I6:I16)</f>
        <v>5.9603675712787667E-3</v>
      </c>
      <c r="J17" s="40" t="s">
        <v>53</v>
      </c>
      <c r="K17" s="40" t="s">
        <v>55</v>
      </c>
      <c r="L17" s="40" t="s">
        <v>56</v>
      </c>
      <c r="M17" s="40" t="s">
        <v>57</v>
      </c>
      <c r="N17" s="40" t="s">
        <v>58</v>
      </c>
      <c r="O17" s="40" t="s">
        <v>59</v>
      </c>
      <c r="P17" s="40" t="s">
        <v>60</v>
      </c>
      <c r="Q17" s="40" t="s">
        <v>61</v>
      </c>
      <c r="R17" s="40" t="s">
        <v>62</v>
      </c>
    </row>
    <row r="18" spans="2:18" x14ac:dyDescent="0.35">
      <c r="J18" t="str">
        <f>J3</f>
        <v>Information Technology</v>
      </c>
      <c r="K18" s="9">
        <f ca="1">OFFSET(Raw_Weights!$C$2,0,0)</f>
        <v>0.2813896404893334</v>
      </c>
      <c r="L18" s="9">
        <f ca="1">OFFSET(Raw_Weights!$D$2,0,0)</f>
        <v>0.234854850785091</v>
      </c>
      <c r="M18" s="9">
        <f ca="1">OFFSET(Raw_Returns!$B$2,0,0)</f>
        <v>3.6888096469837379E-2</v>
      </c>
      <c r="N18" s="9" cm="1">
        <f t="array" aca="1" ref="N18" ca="1">SUMPRODUCT(OFFSET(Raw_Weights!$D$2,0,0,11,1),TRANSPOSE(OFFSET(Raw_Returns!$B$2,0,0,1,11)))</f>
        <v>2.7481447208163503E-2</v>
      </c>
      <c r="O18" s="9">
        <f ca="1">(K18-L18)*(M18-N18)</f>
        <v>4.3773644521356094E-4</v>
      </c>
      <c r="P18" s="9">
        <f ca="1">L18*$K$3</f>
        <v>2.34854850785091E-4</v>
      </c>
      <c r="Q18" s="9">
        <f ca="1">(K18-L18)*$K$3</f>
        <v>4.6534789704242407E-5</v>
      </c>
      <c r="R18" s="9">
        <f ca="1">O18+P18+Q18</f>
        <v>7.1912608570289438E-4</v>
      </c>
    </row>
    <row r="19" spans="2:18" x14ac:dyDescent="0.35">
      <c r="J19" t="str">
        <f>J4</f>
        <v>Health Care</v>
      </c>
      <c r="K19" s="9">
        <f ca="1">OFFSET(Raw_Weights!$C$2,1,0)</f>
        <v>0.14056117008242164</v>
      </c>
      <c r="L19" s="9">
        <f ca="1">OFFSET(Raw_Weights!$D$2,1,0)</f>
        <v>0.11808889622711227</v>
      </c>
      <c r="M19" s="9">
        <f ca="1">OFFSET(Raw_Returns!$B$2,0,1)</f>
        <v>1.2800626711878258E-2</v>
      </c>
      <c r="N19" s="9" cm="1">
        <f t="array" aca="1" ref="N19" ca="1">SUMPRODUCT(OFFSET(Raw_Weights!$D$2,0,0,11,1),TRANSPOSE(OFFSET(Raw_Returns!$B$2,0,0,1,11)))</f>
        <v>2.7481447208163503E-2</v>
      </c>
      <c r="O19" s="9">
        <f ca="1">(K19-L19)*(M19-N19)</f>
        <v>-3.2991141861316074E-4</v>
      </c>
      <c r="P19" s="9">
        <f ca="1">L19*$K$4</f>
        <v>5.9044448113556135E-5</v>
      </c>
      <c r="Q19" s="9">
        <f ca="1">(K19-L19)*$K$4</f>
        <v>1.1236136927654682E-5</v>
      </c>
      <c r="R19" s="9">
        <f ca="1">O19+P19+Q19</f>
        <v>-2.5963083357194992E-4</v>
      </c>
    </row>
    <row r="20" spans="2:18" x14ac:dyDescent="0.35">
      <c r="J20" t="str">
        <f>J5</f>
        <v>Financials</v>
      </c>
      <c r="K20" s="9">
        <f ca="1">OFFSET(Raw_Weights!$C$2,2,0)</f>
        <v>0.13044784701357562</v>
      </c>
      <c r="L20" s="9">
        <f ca="1">OFFSET(Raw_Weights!$D$2,2,0)</f>
        <v>0.15664619641736133</v>
      </c>
      <c r="M20" s="9">
        <f ca="1">OFFSET(Raw_Returns!$B$2,0,2)</f>
        <v>3.4832694632589346E-2</v>
      </c>
      <c r="N20" s="9" cm="1">
        <f t="array" aca="1" ref="N20" ca="1">SUMPRODUCT(OFFSET(Raw_Weights!$D$2,0,0,11,1),TRANSPOSE(OFFSET(Raw_Returns!$B$2,0,0,1,11)))</f>
        <v>2.7481447208163503E-2</v>
      </c>
      <c r="O20" s="9">
        <f ca="1">(K20-L20)*(M20-N20)</f>
        <v>-1.9259054857878802E-4</v>
      </c>
      <c r="P20" s="9">
        <f ca="1">L20*$K$5</f>
        <v>1.5664619641736133E-4</v>
      </c>
      <c r="Q20" s="9">
        <f ca="1">(K20-L20)*$K$5</f>
        <v>-2.6198349403785709E-5</v>
      </c>
      <c r="R20" s="9">
        <f ca="1">O20+P20+Q20</f>
        <v>-6.2142701565212407E-5</v>
      </c>
    </row>
    <row r="21" spans="2:18" x14ac:dyDescent="0.35">
      <c r="J21" t="str">
        <f>J6</f>
        <v>Consumer Discretionary</v>
      </c>
      <c r="K21" s="9">
        <f ca="1">OFFSET(Raw_Weights!$C$2,3,0)</f>
        <v>0.12062958841559433</v>
      </c>
      <c r="L21" s="9">
        <f ca="1">OFFSET(Raw_Weights!$D$2,3,0)</f>
        <v>0.10560291376949854</v>
      </c>
      <c r="M21" s="9">
        <f ca="1">OFFSET(Raw_Returns!$B$2,0,3)</f>
        <v>4.0314645135908392E-2</v>
      </c>
      <c r="N21" s="9" cm="1">
        <f t="array" aca="1" ref="N21" ca="1">SUMPRODUCT(OFFSET(Raw_Weights!$D$2,0,0,11,1),TRANSPOSE(OFFSET(Raw_Returns!$B$2,0,0,1,11)))</f>
        <v>2.7481447208163503E-2</v>
      </c>
      <c r="O21" s="9">
        <f ca="1">(K21-L21)*(M21-N21)</f>
        <v>1.9284028992917318E-4</v>
      </c>
      <c r="P21" s="9">
        <f ca="1">L21*$K$6</f>
        <v>3.1680874130849561E-5</v>
      </c>
      <c r="Q21" s="9">
        <f ca="1">(K21-L21)*$K$6</f>
        <v>4.5080023938287374E-6</v>
      </c>
      <c r="R21" s="9">
        <f ca="1">O21+P21+Q21</f>
        <v>2.2902916645385147E-4</v>
      </c>
    </row>
    <row r="22" spans="2:18" x14ac:dyDescent="0.35">
      <c r="J22" t="str">
        <f>J7</f>
        <v>Industrials</v>
      </c>
      <c r="K22" s="9">
        <f ca="1">OFFSET(Raw_Weights!$C$2,4,0)</f>
        <v>0.10035587091562785</v>
      </c>
      <c r="L22" s="9">
        <f ca="1">OFFSET(Raw_Weights!$D$2,4,0)</f>
        <v>0.10594820208409154</v>
      </c>
      <c r="M22" s="9">
        <f ca="1">OFFSET(Raw_Returns!$B$2,0,4)</f>
        <v>1.9678509669565976E-2</v>
      </c>
      <c r="N22" s="9" cm="1">
        <f t="array" aca="1" ref="N22" ca="1">SUMPRODUCT(OFFSET(Raw_Weights!$D$2,0,0,11,1),TRANSPOSE(OFFSET(Raw_Returns!$B$2,0,0,1,11)))</f>
        <v>2.7481447208163503E-2</v>
      </c>
      <c r="O22" s="9">
        <f ca="1">(K22-L22)*(M22-N22)</f>
        <v>4.3636610802674322E-5</v>
      </c>
      <c r="P22" s="9">
        <f ca="1">L22*$K$7</f>
        <v>-2.1189640416818311E-5</v>
      </c>
      <c r="Q22" s="9">
        <f ca="1">(K22-L22)*$K$7</f>
        <v>1.1184662336927387E-6</v>
      </c>
      <c r="R22" s="9">
        <f ca="1">O22+P22+Q22</f>
        <v>2.3565436619548749E-5</v>
      </c>
    </row>
    <row r="23" spans="2:18" x14ac:dyDescent="0.35">
      <c r="J23" t="str">
        <f>J8</f>
        <v>Communication Services</v>
      </c>
      <c r="K23" s="9">
        <f ca="1">OFFSET(Raw_Weights!$C$2,5,0)</f>
        <v>8.2576448950393511E-2</v>
      </c>
      <c r="L23" s="9">
        <f ca="1">OFFSET(Raw_Weights!$D$2,5,0)</f>
        <v>7.599790861519555E-2</v>
      </c>
      <c r="M23" s="9">
        <f ca="1">OFFSET(Raw_Returns!$B$2,0,5)</f>
        <v>2.7152045338250278E-2</v>
      </c>
      <c r="N23" s="9" cm="1">
        <f t="array" aca="1" ref="N23" ca="1">SUMPRODUCT(OFFSET(Raw_Weights!$D$2,0,0,11,1),TRANSPOSE(OFFSET(Raw_Returns!$B$2,0,0,1,11)))</f>
        <v>2.7481447208163503E-2</v>
      </c>
      <c r="O23" s="9">
        <f ca="1">(K23-L23)*(M23-N23)</f>
        <v>-2.1669834877137808E-6</v>
      </c>
      <c r="P23" s="9">
        <f ca="1">L23*$K$8</f>
        <v>6.079832689215644E-5</v>
      </c>
      <c r="Q23" s="9">
        <f ca="1">(K23-L23)*$K$8</f>
        <v>5.2628322681583685E-6</v>
      </c>
      <c r="R23" s="9">
        <f ca="1">O23+P23+Q23</f>
        <v>6.3894175672601027E-5</v>
      </c>
    </row>
    <row r="24" spans="2:18" x14ac:dyDescent="0.35">
      <c r="J24" t="str">
        <f>J9</f>
        <v>Consumer Staples</v>
      </c>
      <c r="K24" s="9">
        <f ca="1">OFFSET(Raw_Weights!$C$2,6,0)</f>
        <v>4.1281273974526092E-2</v>
      </c>
      <c r="L24" s="9">
        <f ca="1">OFFSET(Raw_Weights!$D$2,6,0)</f>
        <v>7.3874479753145011E-2</v>
      </c>
      <c r="M24" s="9">
        <f ca="1">OFFSET(Raw_Returns!$B$2,0,6)</f>
        <v>1.9446959204282958E-3</v>
      </c>
      <c r="N24" s="9" cm="1">
        <f t="array" aca="1" ref="N24" ca="1">SUMPRODUCT(OFFSET(Raw_Weights!$D$2,0,0,11,1),TRANSPOSE(OFFSET(Raw_Returns!$B$2,0,0,1,11)))</f>
        <v>2.7481447208163503E-2</v>
      </c>
      <c r="O24" s="9">
        <f ca="1">(K24-L24)*(M24-N24)</f>
        <v>8.3232458963856525E-4</v>
      </c>
      <c r="P24" s="9">
        <f ca="1">L24*$K$9</f>
        <v>7.3874479753145011E-5</v>
      </c>
      <c r="Q24" s="9">
        <f ca="1">(K24-L24)*$K$9</f>
        <v>-3.2593205778618921E-5</v>
      </c>
      <c r="R24" s="9">
        <f ca="1">O24+P24+Q24</f>
        <v>8.7360586361309137E-4</v>
      </c>
    </row>
    <row r="25" spans="2:18" x14ac:dyDescent="0.35">
      <c r="J25" t="str">
        <f>J10</f>
        <v>Energy</v>
      </c>
      <c r="K25" s="9">
        <f ca="1">OFFSET(Raw_Weights!$C$2,7,0)</f>
        <v>3.1861433478935781E-2</v>
      </c>
      <c r="L25" s="9">
        <f ca="1">OFFSET(Raw_Weights!$D$2,7,0)</f>
        <v>3.8804798987223103E-2</v>
      </c>
      <c r="M25" s="9">
        <f ca="1">OFFSET(Raw_Returns!$B$2,0,7)</f>
        <v>3.1004115049695899E-2</v>
      </c>
      <c r="N25" s="9" cm="1">
        <f t="array" aca="1" ref="N25" ca="1">SUMPRODUCT(OFFSET(Raw_Weights!$D$2,0,0,11,1),TRANSPOSE(OFFSET(Raw_Returns!$B$2,0,0,1,11)))</f>
        <v>2.7481447208163503E-2</v>
      </c>
      <c r="O25" s="9">
        <f ca="1">(K25-L25)*(M25-N25)</f>
        <v>-2.4459170388048987E-5</v>
      </c>
      <c r="P25" s="9">
        <f ca="1">L25*$K$10</f>
        <v>1.9402399493611553E-5</v>
      </c>
      <c r="Q25" s="9">
        <f ca="1">(K25-L25)*$K$10</f>
        <v>-3.4716827541436611E-6</v>
      </c>
      <c r="R25" s="9">
        <f ca="1">O25+P25+Q25</f>
        <v>-8.5284536485810961E-6</v>
      </c>
    </row>
    <row r="26" spans="2:18" x14ac:dyDescent="0.35">
      <c r="J26" t="str">
        <f>J11</f>
        <v>Materials</v>
      </c>
      <c r="K26" s="9">
        <f ca="1">OFFSET(Raw_Weights!$C$2,8,0)</f>
        <v>3.7234774227933636E-2</v>
      </c>
      <c r="L26" s="9">
        <f ca="1">OFFSET(Raw_Weights!$D$2,8,0)</f>
        <v>3.4911853151216983E-2</v>
      </c>
      <c r="M26" s="9">
        <f ca="1">OFFSET(Raw_Returns!$B$2,0,8)</f>
        <v>3.3019573934904595E-2</v>
      </c>
      <c r="N26" s="9" cm="1">
        <f t="array" aca="1" ref="N26" ca="1">SUMPRODUCT(OFFSET(Raw_Weights!$D$2,0,0,11,1),TRANSPOSE(OFFSET(Raw_Returns!$B$2,0,0,1,11)))</f>
        <v>2.7481447208163503E-2</v>
      </c>
      <c r="O26" s="9">
        <f ca="1">(K26-L26)*(M26-N26)</f>
        <v>1.2864631299074688E-5</v>
      </c>
      <c r="P26" s="9">
        <f ca="1">L26*$K$11</f>
        <v>-1.0473555945365095E-5</v>
      </c>
      <c r="Q26" s="9">
        <f ca="1">(K26-L26)*$K$11</f>
        <v>-6.9687632301499569E-7</v>
      </c>
      <c r="R26" s="9">
        <f ca="1">O26+P26+Q26</f>
        <v>1.6941990306945974E-6</v>
      </c>
    </row>
    <row r="27" spans="2:18" x14ac:dyDescent="0.35">
      <c r="J27" t="str">
        <f>J12</f>
        <v>Utilities</v>
      </c>
      <c r="K27" s="9">
        <f ca="1">OFFSET(Raw_Weights!$C$2,9,0)</f>
        <v>1.747858156335174E-2</v>
      </c>
      <c r="L27" s="9">
        <f ca="1">OFFSET(Raw_Weights!$D$2,9,0)</f>
        <v>3.0604731967924615E-2</v>
      </c>
      <c r="M27" s="9">
        <f ca="1">OFFSET(Raw_Returns!$B$2,0,9)</f>
        <v>3.1148350307108059E-2</v>
      </c>
      <c r="N27" s="9" cm="1">
        <f t="array" aca="1" ref="N27" ca="1">SUMPRODUCT(OFFSET(Raw_Weights!$D$2,0,0,11,1),TRANSPOSE(OFFSET(Raw_Returns!$B$2,0,0,1,11)))</f>
        <v>2.7481447208163503E-2</v>
      </c>
      <c r="O27" s="9">
        <f ca="1">(K27-L27)*(M27-N27)</f>
        <v>-4.8132321595740617E-5</v>
      </c>
      <c r="P27" s="9">
        <f ca="1">L27*$K$12</f>
        <v>6.120946393584923E-6</v>
      </c>
      <c r="Q27" s="9">
        <f ca="1">(K27-L27)*$K$12</f>
        <v>-2.6252300809145751E-6</v>
      </c>
      <c r="R27" s="9">
        <f ca="1">O27+P27+Q27</f>
        <v>-4.4636605283070272E-5</v>
      </c>
    </row>
    <row r="28" spans="2:18" x14ac:dyDescent="0.35">
      <c r="J28" t="str">
        <f>J13</f>
        <v>Real Estate</v>
      </c>
      <c r="K28" s="9">
        <f ca="1">OFFSET(Raw_Weights!$C$2,10,0)</f>
        <v>1.6183370888306244E-2</v>
      </c>
      <c r="L28" s="9">
        <f ca="1">OFFSET(Raw_Weights!$D$2,10,0)</f>
        <v>2.4665168242140063E-2</v>
      </c>
      <c r="M28" s="9">
        <f ca="1">OFFSET(Raw_Returns!$B$2,0,10)</f>
        <v>-3.4464968418511724E-4</v>
      </c>
      <c r="N28" s="9" cm="1">
        <f t="array" aca="1" ref="N28" ca="1">SUMPRODUCT(OFFSET(Raw_Weights!$D$2,0,0,11,1),TRANSPOSE(OFFSET(Raw_Returns!$B$2,0,0,1,11)))</f>
        <v>2.7481447208163503E-2</v>
      </c>
      <c r="O28" s="9">
        <f ca="1">(K28-L28)*(M28-N28)</f>
        <v>2.3601531498904598E-4</v>
      </c>
      <c r="P28" s="9">
        <f ca="1">L28*$K$13</f>
        <v>2.4665168242140063E-6</v>
      </c>
      <c r="Q28" s="9">
        <f ca="1">(K28-L28)*$K$13</f>
        <v>-8.4817973538338199E-7</v>
      </c>
      <c r="R28" s="9">
        <f ca="1">O28+P28+Q28</f>
        <v>2.3763365207787659E-4</v>
      </c>
    </row>
    <row r="30" spans="2:18" x14ac:dyDescent="0.35">
      <c r="J30" s="39">
        <v>45870</v>
      </c>
    </row>
    <row r="31" spans="2:18" x14ac:dyDescent="0.35">
      <c r="J31" s="40" t="s">
        <v>53</v>
      </c>
      <c r="K31" s="40" t="s">
        <v>55</v>
      </c>
      <c r="L31" s="40" t="s">
        <v>56</v>
      </c>
      <c r="M31" s="40" t="s">
        <v>57</v>
      </c>
      <c r="N31" s="40" t="s">
        <v>58</v>
      </c>
      <c r="O31" s="40" t="s">
        <v>59</v>
      </c>
      <c r="P31" s="40" t="s">
        <v>60</v>
      </c>
      <c r="Q31" s="40" t="s">
        <v>61</v>
      </c>
      <c r="R31" s="40" t="s">
        <v>62</v>
      </c>
    </row>
    <row r="32" spans="2:18" x14ac:dyDescent="0.35">
      <c r="J32" t="str">
        <f>J3</f>
        <v>Information Technology</v>
      </c>
      <c r="K32" s="9">
        <f ca="1">OFFSET(Raw_Weights!$C$2,11,0)</f>
        <v>0.28069200813105571</v>
      </c>
      <c r="L32" s="9">
        <f ca="1">OFFSET(Raw_Weights!$D$2,11,0)</f>
        <v>0.23978212060481641</v>
      </c>
      <c r="M32" s="9">
        <f ca="1">OFFSET(Raw_Returns!$B$2,1,0)</f>
        <v>-3.5425762747030458E-2</v>
      </c>
      <c r="N32" s="9" cm="1">
        <f t="array" aca="1" ref="N32" ca="1">SUMPRODUCT(OFFSET(Raw_Weights!$D$2,11,0,11,1),TRANSPOSE(OFFSET(Raw_Returns!$B$2,1,0,1,11)))</f>
        <v>-1.4731698268146229E-2</v>
      </c>
      <c r="O32" s="9">
        <f ca="1">(K32-L32)*(M32-N32)</f>
        <v>-8.4659185029189782E-4</v>
      </c>
      <c r="P32" s="9">
        <f ca="1">L32*$K$3</f>
        <v>2.3978212060481641E-4</v>
      </c>
      <c r="Q32" s="9">
        <f ca="1">(K32-L32)*$K$3</f>
        <v>4.0909887526239307E-5</v>
      </c>
      <c r="R32" s="9">
        <f ca="1">O32+P32+Q32</f>
        <v>-5.6589984216084206E-4</v>
      </c>
    </row>
    <row r="33" spans="10:18" x14ac:dyDescent="0.35">
      <c r="J33" t="str">
        <f>J4</f>
        <v>Health Care</v>
      </c>
      <c r="K33" s="9">
        <f ca="1">OFFSET(Raw_Weights!$C$2,12,0)</f>
        <v>0.14024146761196143</v>
      </c>
      <c r="L33" s="9">
        <f ca="1">OFFSET(Raw_Weights!$D$2,12,0)</f>
        <v>0.124120820233076</v>
      </c>
      <c r="M33" s="9">
        <f ca="1">OFFSET(Raw_Returns!$B$2,1,1)</f>
        <v>4.3174655543770438E-3</v>
      </c>
      <c r="N33" s="9" cm="1">
        <f t="array" aca="1" ref="N33" ca="1">SUMPRODUCT(OFFSET(Raw_Weights!$D$2,11,0,11,1),TRANSPOSE(OFFSET(Raw_Returns!$B$2,1,0,1,11)))</f>
        <v>-1.4731698268146229E-2</v>
      </c>
      <c r="O33" s="9">
        <f ca="1">(K33-L33)*(M33-N33)</f>
        <v>3.0708485284551914E-4</v>
      </c>
      <c r="P33" s="9">
        <f ca="1">L33*$K$4</f>
        <v>6.2060410116538005E-5</v>
      </c>
      <c r="Q33" s="9">
        <f ca="1">(K33-L33)*$K$4</f>
        <v>8.0603236894427191E-6</v>
      </c>
      <c r="R33" s="9">
        <f ca="1">O33+P33+Q33</f>
        <v>3.7720558665149987E-4</v>
      </c>
    </row>
    <row r="34" spans="10:18" x14ac:dyDescent="0.35">
      <c r="J34" t="str">
        <f>J5</f>
        <v>Financials</v>
      </c>
      <c r="K34" s="9">
        <f ca="1">OFFSET(Raw_Weights!$C$2,13,0)</f>
        <v>0.1253209397791305</v>
      </c>
      <c r="L34" s="9">
        <f ca="1">OFFSET(Raw_Weights!$D$2,13,0)</f>
        <v>0.15097542971486133</v>
      </c>
      <c r="M34" s="9">
        <f ca="1">OFFSET(Raw_Returns!$B$2,1,2)</f>
        <v>-3.647703172912764E-2</v>
      </c>
      <c r="N34" s="9" cm="1">
        <f t="array" aca="1" ref="N34" ca="1">SUMPRODUCT(OFFSET(Raw_Weights!$D$2,11,0,11,1),TRANSPOSE(OFFSET(Raw_Returns!$B$2,1,0,1,11)))</f>
        <v>-1.4731698268146229E-2</v>
      </c>
      <c r="O34" s="9">
        <f ca="1">(K34-L34)*(M34-N34)</f>
        <v>5.5786543842385847E-4</v>
      </c>
      <c r="P34" s="9">
        <f ca="1">L34*$K$5</f>
        <v>1.5097542971486135E-4</v>
      </c>
      <c r="Q34" s="9">
        <f ca="1">(K34-L34)*$K$5</f>
        <v>-2.5654489935730829E-5</v>
      </c>
      <c r="R34" s="9">
        <f ca="1">O34+P34+Q34</f>
        <v>6.8318637820298901E-4</v>
      </c>
    </row>
    <row r="35" spans="10:18" x14ac:dyDescent="0.35">
      <c r="J35" t="str">
        <f>J6</f>
        <v>Consumer Discretionary</v>
      </c>
      <c r="K35" s="9">
        <f ca="1">OFFSET(Raw_Weights!$C$2,14,0)</f>
        <v>0.11890605836811123</v>
      </c>
      <c r="L35" s="9">
        <f ca="1">OFFSET(Raw_Weights!$D$2,14,0)</f>
        <v>0.1049084231112337</v>
      </c>
      <c r="M35" s="9">
        <f ca="1">OFFSET(Raw_Returns!$B$2,1,3)</f>
        <v>-3.2297489563471539E-2</v>
      </c>
      <c r="N35" s="9" cm="1">
        <f t="array" aca="1" ref="N35" ca="1">SUMPRODUCT(OFFSET(Raw_Weights!$D$2,11,0,11,1),TRANSPOSE(OFFSET(Raw_Returns!$B$2,1,0,1,11)))</f>
        <v>-1.4731698268146229E-2</v>
      </c>
      <c r="O35" s="9">
        <f ca="1">(K35-L35)*(M35-N35)</f>
        <v>-2.4587953955039791E-4</v>
      </c>
      <c r="P35" s="9">
        <f ca="1">L35*$K$6</f>
        <v>3.1472526933370106E-5</v>
      </c>
      <c r="Q35" s="9">
        <f ca="1">(K35-L35)*$K$6</f>
        <v>4.1992905770632579E-6</v>
      </c>
      <c r="R35" s="9">
        <f ca="1">O35+P35+Q35</f>
        <v>-2.1020772203996456E-4</v>
      </c>
    </row>
    <row r="36" spans="10:18" x14ac:dyDescent="0.35">
      <c r="J36" t="str">
        <f>J7</f>
        <v>Industrials</v>
      </c>
      <c r="K36" s="9">
        <f ca="1">OFFSET(Raw_Weights!$C$2,15,0)</f>
        <v>0.10068855696445453</v>
      </c>
      <c r="L36" s="9">
        <f ca="1">OFFSET(Raw_Weights!$D$2,15,0)</f>
        <v>0.11169640417101115</v>
      </c>
      <c r="M36" s="9">
        <f ca="1">OFFSET(Raw_Returns!$B$2,1,4)</f>
        <v>-1.1202801824660978E-3</v>
      </c>
      <c r="N36" s="9" cm="1">
        <f t="array" aca="1" ref="N36" ca="1">SUMPRODUCT(OFFSET(Raw_Weights!$D$2,11,0,11,1),TRANSPOSE(OFFSET(Raw_Returns!$B$2,1,0,1,11)))</f>
        <v>-1.4731698268146229E-2</v>
      </c>
      <c r="O36" s="9">
        <f ca="1">(K36-L36)*(M36-N36)</f>
        <v>-1.498324105517283E-4</v>
      </c>
      <c r="P36" s="9">
        <f ca="1">L36*$K$7</f>
        <v>-2.2339280834202231E-5</v>
      </c>
      <c r="Q36" s="9">
        <f ca="1">(K36-L36)*$K$7</f>
        <v>2.2015694413113242E-6</v>
      </c>
      <c r="R36" s="9">
        <f ca="1">O36+P36+Q36</f>
        <v>-1.6997012194461923E-4</v>
      </c>
    </row>
    <row r="37" spans="10:18" x14ac:dyDescent="0.35">
      <c r="J37" t="str">
        <f>J8</f>
        <v>Communication Services</v>
      </c>
      <c r="K37" s="9">
        <f ca="1">OFFSET(Raw_Weights!$C$2,16,0)</f>
        <v>8.7797170421063303E-2</v>
      </c>
      <c r="L37" s="9">
        <f ca="1">OFFSET(Raw_Weights!$D$2,16,0)</f>
        <v>7.5275916977120452E-2</v>
      </c>
      <c r="M37" s="9">
        <f ca="1">OFFSET(Raw_Returns!$B$2,1,5)</f>
        <v>3.3762301069432739E-2</v>
      </c>
      <c r="N37" s="9" cm="1">
        <f t="array" aca="1" ref="N37" ca="1">SUMPRODUCT(OFFSET(Raw_Weights!$D$2,11,0,11,1),TRANSPOSE(OFFSET(Raw_Returns!$B$2,1,0,1,11)))</f>
        <v>-1.4731698268146229E-2</v>
      </c>
      <c r="O37" s="9">
        <f ca="1">(K37-L37)*(M37-N37)</f>
        <v>6.0720565621622295E-4</v>
      </c>
      <c r="P37" s="9">
        <f ca="1">L37*$K$8</f>
        <v>6.0220733581696368E-5</v>
      </c>
      <c r="Q37" s="9">
        <f ca="1">(K37-L37)*$K$8</f>
        <v>1.0017002755154282E-5</v>
      </c>
      <c r="R37" s="9">
        <f ca="1">O37+P37+Q37</f>
        <v>6.7744339255307361E-4</v>
      </c>
    </row>
    <row r="38" spans="10:18" x14ac:dyDescent="0.35">
      <c r="J38" t="str">
        <f>J9</f>
        <v>Consumer Staples</v>
      </c>
      <c r="K38" s="9">
        <f ca="1">OFFSET(Raw_Weights!$C$2,17,0)</f>
        <v>4.7317902732675603E-2</v>
      </c>
      <c r="L38" s="9">
        <f ca="1">OFFSET(Raw_Weights!$D$2,17,0)</f>
        <v>6.3855626063363077E-2</v>
      </c>
      <c r="M38" s="9">
        <f ca="1">OFFSET(Raw_Returns!$B$2,1,6)</f>
        <v>-8.430012702141533E-3</v>
      </c>
      <c r="N38" s="9" cm="1">
        <f t="array" aca="1" ref="N38" ca="1">SUMPRODUCT(OFFSET(Raw_Weights!$D$2,11,0,11,1),TRANSPOSE(OFFSET(Raw_Returns!$B$2,1,0,1,11)))</f>
        <v>-1.4731698268146229E-2</v>
      </c>
      <c r="O38" s="9">
        <f ca="1">(K38-L38)*(M38-N38)</f>
        <v>-1.0421553240757237E-4</v>
      </c>
      <c r="P38" s="9">
        <f ca="1">L38*$K$9</f>
        <v>6.3855626063363076E-5</v>
      </c>
      <c r="Q38" s="9">
        <f ca="1">(K38-L38)*$K$9</f>
        <v>-1.6537723330687475E-5</v>
      </c>
      <c r="R38" s="9">
        <f ca="1">O38+P38+Q38</f>
        <v>-5.6897629674896765E-5</v>
      </c>
    </row>
    <row r="39" spans="10:18" x14ac:dyDescent="0.35">
      <c r="J39" t="str">
        <f>J10</f>
        <v>Energy</v>
      </c>
      <c r="K39" s="9">
        <f ca="1">OFFSET(Raw_Weights!$C$2,18,0)</f>
        <v>2.6948644350212596E-2</v>
      </c>
      <c r="L39" s="9">
        <f ca="1">OFFSET(Raw_Weights!$D$2,18,0)</f>
        <v>4.8263561234328428E-2</v>
      </c>
      <c r="M39" s="9">
        <f ca="1">OFFSET(Raw_Returns!$B$2,1,7)</f>
        <v>7.4435906014351395E-3</v>
      </c>
      <c r="N39" s="9" cm="1">
        <f t="array" aca="1" ref="N39" ca="1">SUMPRODUCT(OFFSET(Raw_Weights!$D$2,11,0,11,1),TRANSPOSE(OFFSET(Raw_Returns!$B$2,1,0,1,11)))</f>
        <v>-1.4731698268146229E-2</v>
      </c>
      <c r="O39" s="9">
        <f ca="1">(K39-L39)*(M39-N39)</f>
        <v>-4.7266443913638576E-4</v>
      </c>
      <c r="P39" s="9">
        <f ca="1">L39*$K$10</f>
        <v>2.4131780617164215E-5</v>
      </c>
      <c r="Q39" s="9">
        <f ca="1">(K39-L39)*$K$10</f>
        <v>-1.0657458442057916E-5</v>
      </c>
      <c r="R39" s="9">
        <f ca="1">O39+P39+Q39</f>
        <v>-4.5919011696127947E-4</v>
      </c>
    </row>
    <row r="40" spans="10:18" x14ac:dyDescent="0.35">
      <c r="J40" t="str">
        <f>J11</f>
        <v>Materials</v>
      </c>
      <c r="K40" s="9">
        <f ca="1">OFFSET(Raw_Weights!$C$2,19,0)</f>
        <v>3.5809741915592393E-2</v>
      </c>
      <c r="L40" s="9">
        <f ca="1">OFFSET(Raw_Weights!$D$2,19,0)</f>
        <v>3.4742879858269994E-2</v>
      </c>
      <c r="M40" s="9">
        <f ca="1">OFFSET(Raw_Returns!$B$2,1,8)</f>
        <v>9.805096378292695E-4</v>
      </c>
      <c r="N40" s="9" cm="1">
        <f t="array" aca="1" ref="N40" ca="1">SUMPRODUCT(OFFSET(Raw_Weights!$D$2,11,0,11,1),TRANSPOSE(OFFSET(Raw_Returns!$B$2,1,0,1,11)))</f>
        <v>-1.4731698268146229E-2</v>
      </c>
      <c r="O40" s="9">
        <f ca="1">(K40-L40)*(M40-N40)</f>
        <v>1.6762758451646275E-5</v>
      </c>
      <c r="P40" s="9">
        <f ca="1">L40*$K$11</f>
        <v>-1.0422863957480997E-5</v>
      </c>
      <c r="Q40" s="9">
        <f ca="1">(K40-L40)*$K$11</f>
        <v>-3.2005861719671957E-7</v>
      </c>
      <c r="R40" s="9">
        <f ca="1">O40+P40+Q40</f>
        <v>6.0198358769685581E-6</v>
      </c>
    </row>
    <row r="41" spans="10:18" x14ac:dyDescent="0.35">
      <c r="J41" t="str">
        <f>J12</f>
        <v>Utilities</v>
      </c>
      <c r="K41" s="9">
        <f ca="1">OFFSET(Raw_Weights!$C$2,20,0)</f>
        <v>2.1754610298700367E-2</v>
      </c>
      <c r="L41" s="9">
        <f ca="1">OFFSET(Raw_Weights!$D$2,20,0)</f>
        <v>2.3949788416696323E-2</v>
      </c>
      <c r="M41" s="9">
        <f ca="1">OFFSET(Raw_Returns!$B$2,1,9)</f>
        <v>-1.6829563721660841E-2</v>
      </c>
      <c r="N41" s="9" cm="1">
        <f t="array" aca="1" ref="N41" ca="1">SUMPRODUCT(OFFSET(Raw_Weights!$D$2,11,0,11,1),TRANSPOSE(OFFSET(Raw_Returns!$B$2,1,0,1,11)))</f>
        <v>-1.4731698268146229E-2</v>
      </c>
      <c r="O41" s="9">
        <f ca="1">(K41-L41)*(M41-N41)</f>
        <v>4.6051883380549388E-6</v>
      </c>
      <c r="P41" s="9">
        <f ca="1">L41*$K$12</f>
        <v>4.7899576833392644E-6</v>
      </c>
      <c r="Q41" s="9">
        <f ca="1">(K41-L41)*$K$12</f>
        <v>-4.3903562359919116E-7</v>
      </c>
      <c r="R41" s="9">
        <f ca="1">O41+P41+Q41</f>
        <v>8.9561103977950116E-6</v>
      </c>
    </row>
    <row r="42" spans="10:18" x14ac:dyDescent="0.35">
      <c r="J42" t="str">
        <f>J13</f>
        <v>Real Estate</v>
      </c>
      <c r="K42" s="9">
        <f ca="1">OFFSET(Raw_Weights!$C$2,21,0)</f>
        <v>1.4522899427042324E-2</v>
      </c>
      <c r="L42" s="9">
        <f ca="1">OFFSET(Raw_Weights!$D$2,21,0)</f>
        <v>2.242902961522308E-2</v>
      </c>
      <c r="M42" s="9">
        <f ca="1">OFFSET(Raw_Returns!$B$2,1,10)</f>
        <v>1.1323919577568092E-2</v>
      </c>
      <c r="N42" s="9" cm="1">
        <f t="array" aca="1" ref="N42" ca="1">SUMPRODUCT(OFFSET(Raw_Weights!$D$2,11,0,11,1),TRANSPOSE(OFFSET(Raw_Returns!$B$2,1,0,1,11)))</f>
        <v>-1.4731698268146229E-2</v>
      </c>
      <c r="O42" s="9">
        <f ca="1">(K42-L42)*(M42-N42)</f>
        <v>-2.0599910682170323E-4</v>
      </c>
      <c r="P42" s="9">
        <f ca="1">L42*$K$13</f>
        <v>2.2429029615223082E-6</v>
      </c>
      <c r="Q42" s="9">
        <f ca="1">(K42-L42)*$K$13</f>
        <v>-7.9061301881807564E-7</v>
      </c>
      <c r="R42" s="9">
        <f ca="1">O42+P42+Q42</f>
        <v>-2.0454681687899902E-4</v>
      </c>
    </row>
    <row r="44" spans="10:18" x14ac:dyDescent="0.35">
      <c r="J44" s="39">
        <v>45901</v>
      </c>
    </row>
    <row r="45" spans="10:18" x14ac:dyDescent="0.35">
      <c r="J45" s="40" t="s">
        <v>53</v>
      </c>
      <c r="K45" s="40" t="s">
        <v>55</v>
      </c>
      <c r="L45" s="40" t="s">
        <v>56</v>
      </c>
      <c r="M45" s="40" t="s">
        <v>57</v>
      </c>
      <c r="N45" s="40" t="s">
        <v>58</v>
      </c>
      <c r="O45" s="40" t="s">
        <v>59</v>
      </c>
      <c r="P45" s="40" t="s">
        <v>60</v>
      </c>
      <c r="Q45" s="40" t="s">
        <v>61</v>
      </c>
      <c r="R45" s="40" t="s">
        <v>62</v>
      </c>
    </row>
    <row r="46" spans="10:18" x14ac:dyDescent="0.35">
      <c r="J46" t="str">
        <f>J3</f>
        <v>Information Technology</v>
      </c>
      <c r="K46" s="9">
        <f ca="1">OFFSET(Raw_Weights!$C$2,22,0)</f>
        <v>0.27337629711898376</v>
      </c>
      <c r="L46" s="9">
        <f ca="1">OFFSET(Raw_Weights!$D$2,22,0)</f>
        <v>0.23150503080587664</v>
      </c>
      <c r="M46" s="9">
        <f ca="1">OFFSET(Raw_Returns!$B$2,2,0)</f>
        <v>4.4953161023711871E-3</v>
      </c>
      <c r="N46" s="9" cm="1">
        <f t="array" aca="1" ref="N46" ca="1">SUMPRODUCT(OFFSET(Raw_Weights!$D$2,22,0,11,1),TRANSPOSE(OFFSET(Raw_Returns!$B$2,2,0,1,11)))</f>
        <v>1.4031819264931109E-2</v>
      </c>
      <c r="O46" s="9">
        <f ca="1">(K46-L46)*(M46-N46)</f>
        <v>-3.9930546361533473E-4</v>
      </c>
      <c r="P46" s="9">
        <f ca="1">L46*$K$3</f>
        <v>2.3150503080587664E-4</v>
      </c>
      <c r="Q46" s="9">
        <f ca="1">(K46-L46)*$K$3</f>
        <v>4.1871266313107112E-5</v>
      </c>
      <c r="R46" s="9">
        <f ca="1">O46+P46+Q46</f>
        <v>-1.2592916649635099E-4</v>
      </c>
    </row>
    <row r="47" spans="10:18" x14ac:dyDescent="0.35">
      <c r="J47" t="str">
        <f>J4</f>
        <v>Health Care</v>
      </c>
      <c r="K47" s="9">
        <f ca="1">OFFSET(Raw_Weights!$C$2,23,0)</f>
        <v>0.14645533154861134</v>
      </c>
      <c r="L47" s="9">
        <f ca="1">OFFSET(Raw_Weights!$D$2,23,0)</f>
        <v>0.12316057258710261</v>
      </c>
      <c r="M47" s="9">
        <f ca="1">OFFSET(Raw_Returns!$B$2,2,1)</f>
        <v>5.8015387469774853E-3</v>
      </c>
      <c r="N47" s="9" cm="1">
        <f t="array" aca="1" ref="N47" ca="1">SUMPRODUCT(OFFSET(Raw_Weights!$D$2,22,0,11,1),TRANSPOSE(OFFSET(Raw_Returns!$B$2,2,0,1,11)))</f>
        <v>1.4031819264931109E-2</v>
      </c>
      <c r="O47" s="9">
        <f ca="1">(K47-L47)*(M47-N47)</f>
        <v>-1.9172240085133091E-4</v>
      </c>
      <c r="P47" s="9">
        <f ca="1">L47*$K$4</f>
        <v>6.1580286293551301E-5</v>
      </c>
      <c r="Q47" s="9">
        <f ca="1">(K47-L47)*$K$4</f>
        <v>1.1647379480754366E-5</v>
      </c>
      <c r="R47" s="9">
        <f ca="1">O47+P47+Q47</f>
        <v>-1.1849473507702524E-4</v>
      </c>
    </row>
    <row r="48" spans="10:18" x14ac:dyDescent="0.35">
      <c r="J48" t="str">
        <f>J5</f>
        <v>Financials</v>
      </c>
      <c r="K48" s="9">
        <f ca="1">OFFSET(Raw_Weights!$C$2,24,0)</f>
        <v>0.12530974144327431</v>
      </c>
      <c r="L48" s="9">
        <f ca="1">OFFSET(Raw_Weights!$D$2,24,0)</f>
        <v>0.15657026490576365</v>
      </c>
      <c r="M48" s="9">
        <f ca="1">OFFSET(Raw_Returns!$B$2,2,2)</f>
        <v>1.0734574698461858E-2</v>
      </c>
      <c r="N48" s="9" cm="1">
        <f t="array" aca="1" ref="N48" ca="1">SUMPRODUCT(OFFSET(Raw_Weights!$D$2,22,0,11,1),TRANSPOSE(OFFSET(Raw_Returns!$B$2,2,0,1,11)))</f>
        <v>1.4031819264931109E-2</v>
      </c>
      <c r="O48" s="9">
        <f ca="1">(K48-L48)*(M48-N48)</f>
        <v>1.0307359113167751E-4</v>
      </c>
      <c r="P48" s="9">
        <f ca="1">L48*$K$5</f>
        <v>1.5657026490576364E-4</v>
      </c>
      <c r="Q48" s="9">
        <f ca="1">(K48-L48)*$K$5</f>
        <v>-3.126052346248934E-5</v>
      </c>
      <c r="R48" s="9">
        <f ca="1">O48+P48+Q48</f>
        <v>2.2838333257495184E-4</v>
      </c>
    </row>
    <row r="49" spans="10:18" x14ac:dyDescent="0.35">
      <c r="J49" t="str">
        <f>J6</f>
        <v>Consumer Discretionary</v>
      </c>
      <c r="K49" s="9">
        <f ca="1">OFFSET(Raw_Weights!$C$2,25,0)</f>
        <v>0.12024145671691079</v>
      </c>
      <c r="L49" s="9">
        <f ca="1">OFFSET(Raw_Weights!$D$2,25,0)</f>
        <v>0.10620492696769654</v>
      </c>
      <c r="M49" s="9">
        <f ca="1">OFFSET(Raw_Returns!$B$2,2,3)</f>
        <v>4.7170729216729136E-2</v>
      </c>
      <c r="N49" s="9" cm="1">
        <f t="array" aca="1" ref="N49" ca="1">SUMPRODUCT(OFFSET(Raw_Weights!$D$2,22,0,11,1),TRANSPOSE(OFFSET(Raw_Returns!$B$2,2,0,1,11)))</f>
        <v>1.4031819264931109E-2</v>
      </c>
      <c r="O49" s="9">
        <f ca="1">(K49-L49)*(M49-N49)</f>
        <v>4.6515529539494519E-4</v>
      </c>
      <c r="P49" s="9">
        <f ca="1">L49*$K$6</f>
        <v>3.1861478090308958E-5</v>
      </c>
      <c r="Q49" s="9">
        <f ca="1">(K49-L49)*$K$6</f>
        <v>4.2109589247642749E-6</v>
      </c>
      <c r="R49" s="9">
        <f ca="1">O49+P49+Q49</f>
        <v>5.0122773241001841E-4</v>
      </c>
    </row>
    <row r="50" spans="10:18" x14ac:dyDescent="0.35">
      <c r="J50" t="str">
        <f>J7</f>
        <v>Industrials</v>
      </c>
      <c r="K50" s="9">
        <f ca="1">OFFSET(Raw_Weights!$C$2,26,0)</f>
        <v>9.9702885829598686E-2</v>
      </c>
      <c r="L50" s="9">
        <f ca="1">OFFSET(Raw_Weights!$D$2,26,0)</f>
        <v>0.10591882186627898</v>
      </c>
      <c r="M50" s="9">
        <f ca="1">OFFSET(Raw_Returns!$B$2,2,4)</f>
        <v>1.3476219120108514E-2</v>
      </c>
      <c r="N50" s="9" cm="1">
        <f t="array" aca="1" ref="N50" ca="1">SUMPRODUCT(OFFSET(Raw_Weights!$D$2,22,0,11,1),TRANSPOSE(OFFSET(Raw_Returns!$B$2,2,0,1,11)))</f>
        <v>1.4031819264931109E-2</v>
      </c>
      <c r="O50" s="9">
        <f ca="1">(K50-L50)*(M50-N50)</f>
        <v>3.4535749621875541E-6</v>
      </c>
      <c r="P50" s="9">
        <f ca="1">L50*$K$7</f>
        <v>-2.1183764373255795E-5</v>
      </c>
      <c r="Q50" s="9">
        <f ca="1">(K50-L50)*$K$7</f>
        <v>1.2431872073360579E-6</v>
      </c>
      <c r="R50" s="9">
        <f ca="1">O50+P50+Q50</f>
        <v>-1.6487002203732185E-5</v>
      </c>
    </row>
    <row r="51" spans="10:18" x14ac:dyDescent="0.35">
      <c r="J51" t="str">
        <f>J8</f>
        <v>Communication Services</v>
      </c>
      <c r="K51" s="9">
        <f ca="1">OFFSET(Raw_Weights!$C$2,27,0)</f>
        <v>8.0955383594225508E-2</v>
      </c>
      <c r="L51" s="9">
        <f ca="1">OFFSET(Raw_Weights!$D$2,27,0)</f>
        <v>7.5532153756561596E-2</v>
      </c>
      <c r="M51" s="9">
        <f ca="1">OFFSET(Raw_Returns!$B$2,2,5)</f>
        <v>-1.8487360557767195E-2</v>
      </c>
      <c r="N51" s="9" cm="1">
        <f t="array" aca="1" ref="N51" ca="1">SUMPRODUCT(OFFSET(Raw_Weights!$D$2,22,0,11,1),TRANSPOSE(OFFSET(Raw_Returns!$B$2,2,0,1,11)))</f>
        <v>1.4031819264931109E-2</v>
      </c>
      <c r="O51" s="9">
        <f ca="1">(K51-L51)*(M51-N51)</f>
        <v>-1.763589863108157E-4</v>
      </c>
      <c r="P51" s="9">
        <f ca="1">L51*$K$8</f>
        <v>6.0425723005249283E-5</v>
      </c>
      <c r="Q51" s="9">
        <f ca="1">(K51-L51)*$K$8</f>
        <v>4.3385838701311296E-6</v>
      </c>
      <c r="R51" s="9">
        <f ca="1">O51+P51+Q51</f>
        <v>-1.115946794354353E-4</v>
      </c>
    </row>
    <row r="52" spans="10:18" x14ac:dyDescent="0.35">
      <c r="J52" t="str">
        <f>J9</f>
        <v>Consumer Staples</v>
      </c>
      <c r="K52" s="9">
        <f ca="1">OFFSET(Raw_Weights!$C$2,28,0)</f>
        <v>4.1367731632227692E-2</v>
      </c>
      <c r="L52" s="9">
        <f ca="1">OFFSET(Raw_Weights!$D$2,28,0)</f>
        <v>6.7002820030867785E-2</v>
      </c>
      <c r="M52" s="9">
        <f ca="1">OFFSET(Raw_Returns!$B$2,2,6)</f>
        <v>4.0347944344659485E-2</v>
      </c>
      <c r="N52" s="9" cm="1">
        <f t="array" aca="1" ref="N52" ca="1">SUMPRODUCT(OFFSET(Raw_Weights!$D$2,22,0,11,1),TRANSPOSE(OFFSET(Raw_Returns!$B$2,2,0,1,11)))</f>
        <v>1.4031819264931109E-2</v>
      </c>
      <c r="O52" s="9">
        <f ca="1">(K52-L52)*(M52-N52)</f>
        <v>-6.746161927285065E-4</v>
      </c>
      <c r="P52" s="9">
        <f ca="1">L52*$K$9</f>
        <v>6.7002820030867788E-5</v>
      </c>
      <c r="Q52" s="9">
        <f ca="1">(K52-L52)*$K$9</f>
        <v>-2.5635088398640094E-5</v>
      </c>
      <c r="R52" s="9">
        <f ca="1">O52+P52+Q52</f>
        <v>-6.3324846109627877E-4</v>
      </c>
    </row>
    <row r="53" spans="10:18" x14ac:dyDescent="0.35">
      <c r="J53" t="str">
        <f>J10</f>
        <v>Energy</v>
      </c>
      <c r="K53" s="9">
        <f ca="1">OFFSET(Raw_Weights!$C$2,29,0)</f>
        <v>3.2911101044465256E-2</v>
      </c>
      <c r="L53" s="9">
        <f ca="1">OFFSET(Raw_Weights!$D$2,29,0)</f>
        <v>5.057670477776461E-2</v>
      </c>
      <c r="M53" s="9">
        <f ca="1">OFFSET(Raw_Returns!$B$2,2,7)</f>
        <v>3.0619056504474142E-2</v>
      </c>
      <c r="N53" s="9" cm="1">
        <f t="array" aca="1" ref="N53" ca="1">SUMPRODUCT(OFFSET(Raw_Weights!$D$2,22,0,11,1),TRANSPOSE(OFFSET(Raw_Returns!$B$2,2,0,1,11)))</f>
        <v>1.4031819264931109E-2</v>
      </c>
      <c r="O53" s="9">
        <f ca="1">(K53-L53)*(M53-N53)</f>
        <v>-2.9302356010399346E-4</v>
      </c>
      <c r="P53" s="9">
        <f ca="1">L53*$K$10</f>
        <v>2.5288352388882305E-5</v>
      </c>
      <c r="Q53" s="9">
        <f ca="1">(K53-L53)*$K$10</f>
        <v>-8.832801866649677E-6</v>
      </c>
      <c r="R53" s="9">
        <f ca="1">O53+P53+Q53</f>
        <v>-2.7656800958176088E-4</v>
      </c>
    </row>
    <row r="54" spans="10:18" x14ac:dyDescent="0.35">
      <c r="J54" t="str">
        <f>J11</f>
        <v>Materials</v>
      </c>
      <c r="K54" s="9">
        <f ca="1">OFFSET(Raw_Weights!$C$2,30,0)</f>
        <v>3.1943578255328266E-2</v>
      </c>
      <c r="L54" s="9">
        <f ca="1">OFFSET(Raw_Weights!$D$2,30,0)</f>
        <v>3.3217689094289099E-2</v>
      </c>
      <c r="M54" s="9">
        <f ca="1">OFFSET(Raw_Returns!$B$2,2,8)</f>
        <v>-4.4678827819531336E-3</v>
      </c>
      <c r="N54" s="9" cm="1">
        <f t="array" aca="1" ref="N54" ca="1">SUMPRODUCT(OFFSET(Raw_Weights!$D$2,22,0,11,1),TRANSPOSE(OFFSET(Raw_Returns!$B$2,2,0,1,11)))</f>
        <v>1.4031819264931109E-2</v>
      </c>
      <c r="O54" s="9">
        <f ca="1">(K54-L54)*(M54-N54)</f>
        <v>2.3570670895481127E-5</v>
      </c>
      <c r="P54" s="9">
        <f ca="1">L54*$K$11</f>
        <v>-9.9653067282867282E-6</v>
      </c>
      <c r="Q54" s="9">
        <f ca="1">(K54-L54)*$K$11</f>
        <v>3.8223325168824994E-7</v>
      </c>
      <c r="R54" s="9">
        <f ca="1">O54+P54+Q54</f>
        <v>1.3987597418882649E-5</v>
      </c>
    </row>
    <row r="55" spans="10:18" x14ac:dyDescent="0.35">
      <c r="J55" t="str">
        <f>J12</f>
        <v>Utilities</v>
      </c>
      <c r="K55" s="9">
        <f ca="1">OFFSET(Raw_Weights!$C$2,31,0)</f>
        <v>2.1378761853133574E-2</v>
      </c>
      <c r="L55" s="9">
        <f ca="1">OFFSET(Raw_Weights!$D$2,31,0)</f>
        <v>2.7663482394515073E-2</v>
      </c>
      <c r="M55" s="9">
        <f ca="1">OFFSET(Raw_Returns!$B$2,2,9)</f>
        <v>4.6705034056937218E-2</v>
      </c>
      <c r="N55" s="9" cm="1">
        <f t="array" aca="1" ref="N55" ca="1">SUMPRODUCT(OFFSET(Raw_Weights!$D$2,22,0,11,1),TRANSPOSE(OFFSET(Raw_Returns!$B$2,2,0,1,11)))</f>
        <v>1.4031819264931109E-2</v>
      </c>
      <c r="O55" s="9">
        <f ca="1">(K55-L55)*(M55-N55)</f>
        <v>-2.0534202415629062E-4</v>
      </c>
      <c r="P55" s="9">
        <f ca="1">L55*$K$12</f>
        <v>5.5326964789030148E-6</v>
      </c>
      <c r="Q55" s="9">
        <f ca="1">(K55-L55)*$K$12</f>
        <v>-1.2569441082762999E-6</v>
      </c>
      <c r="R55" s="9">
        <f ca="1">O55+P55+Q55</f>
        <v>-2.010662717856639E-4</v>
      </c>
    </row>
    <row r="56" spans="10:18" x14ac:dyDescent="0.35">
      <c r="J56" t="str">
        <f>J13</f>
        <v>Real Estate</v>
      </c>
      <c r="K56" s="9">
        <f ca="1">OFFSET(Raw_Weights!$C$2,32,0)</f>
        <v>2.6357730963240979E-2</v>
      </c>
      <c r="L56" s="9">
        <f ca="1">OFFSET(Raw_Weights!$D$2,32,0)</f>
        <v>2.2647532813283407E-2</v>
      </c>
      <c r="M56" s="9">
        <f ca="1">OFFSET(Raw_Returns!$B$2,2,10)</f>
        <v>7.0421714583447093E-3</v>
      </c>
      <c r="N56" s="9" cm="1">
        <f t="array" aca="1" ref="N56" ca="1">SUMPRODUCT(OFFSET(Raw_Weights!$D$2,22,0,11,1),TRANSPOSE(OFFSET(Raw_Returns!$B$2,2,0,1,11)))</f>
        <v>1.4031819264931109E-2</v>
      </c>
      <c r="O56" s="9">
        <f ca="1">(K56-L56)*(M56-N56)</f>
        <v>-2.5932978360851862E-5</v>
      </c>
      <c r="P56" s="9">
        <f ca="1">L56*$K$13</f>
        <v>2.264753281328341E-6</v>
      </c>
      <c r="Q56" s="9">
        <f ca="1">(K56-L56)*$K$13</f>
        <v>3.7101981499575723E-7</v>
      </c>
      <c r="R56" s="9">
        <f ca="1">O56+P56+Q56</f>
        <v>-2.3297205264527764E-5</v>
      </c>
    </row>
    <row r="58" spans="10:18" x14ac:dyDescent="0.35">
      <c r="J58" s="39">
        <v>45931</v>
      </c>
    </row>
    <row r="59" spans="10:18" x14ac:dyDescent="0.35">
      <c r="J59" s="40" t="s">
        <v>53</v>
      </c>
      <c r="K59" s="40" t="s">
        <v>55</v>
      </c>
      <c r="L59" s="40" t="s">
        <v>56</v>
      </c>
      <c r="M59" s="40" t="s">
        <v>57</v>
      </c>
      <c r="N59" s="40" t="s">
        <v>58</v>
      </c>
      <c r="O59" s="40" t="s">
        <v>59</v>
      </c>
      <c r="P59" s="40" t="s">
        <v>60</v>
      </c>
      <c r="Q59" s="40" t="s">
        <v>61</v>
      </c>
      <c r="R59" s="40" t="s">
        <v>62</v>
      </c>
    </row>
    <row r="60" spans="10:18" x14ac:dyDescent="0.35">
      <c r="J60" t="str">
        <f>J3</f>
        <v>Information Technology</v>
      </c>
      <c r="K60" s="9">
        <f ca="1">OFFSET(Raw_Weights!$C$2,33,0)</f>
        <v>0.28356129788186074</v>
      </c>
      <c r="L60" s="9">
        <f ca="1">OFFSET(Raw_Weights!$D$2,33,0)</f>
        <v>0.23655454883497931</v>
      </c>
      <c r="M60" s="9">
        <f ca="1">OFFSET(Raw_Returns!$B$2,3,0)</f>
        <v>6.80136228099497E-2</v>
      </c>
      <c r="N60" s="9" cm="1">
        <f t="array" aca="1" ref="N60" ca="1">SUMPRODUCT(OFFSET(Raw_Weights!$D$2,33,0,11,1),TRANSPOSE(OFFSET(Raw_Returns!$B$2,3,0,1,11)))</f>
        <v>6.7089626276733372E-2</v>
      </c>
      <c r="O60" s="9">
        <f ca="1">(K60-L60)*(M60-N60)</f>
        <v>4.3434073157088397E-5</v>
      </c>
      <c r="P60" s="9">
        <f ca="1">L60*$K$3</f>
        <v>2.3655454883497932E-4</v>
      </c>
      <c r="Q60" s="9">
        <f ca="1">(K60-L60)*$K$3</f>
        <v>4.700674904688143E-5</v>
      </c>
      <c r="R60" s="9">
        <f ca="1">O60+P60+Q60</f>
        <v>3.2699537103894914E-4</v>
      </c>
    </row>
    <row r="61" spans="10:18" x14ac:dyDescent="0.35">
      <c r="J61" t="str">
        <f>J4</f>
        <v>Health Care</v>
      </c>
      <c r="K61" s="9">
        <f ca="1">OFFSET(Raw_Weights!$C$2,34,0)</f>
        <v>0.14703433860809711</v>
      </c>
      <c r="L61" s="9">
        <f ca="1">OFFSET(Raw_Weights!$D$2,34,0)</f>
        <v>0.12906079982348287</v>
      </c>
      <c r="M61" s="9">
        <f ca="1">OFFSET(Raw_Returns!$B$2,3,1)</f>
        <v>6.6096975484786297E-2</v>
      </c>
      <c r="N61" s="9" cm="1">
        <f t="array" aca="1" ref="N61" ca="1">SUMPRODUCT(OFFSET(Raw_Weights!$D$2,33,0,11,1),TRANSPOSE(OFFSET(Raw_Returns!$B$2,3,0,1,11)))</f>
        <v>6.7089626276733372E-2</v>
      </c>
      <c r="O61" s="9">
        <f ca="1">(K61-L61)*(M61-N61)</f>
        <v>-1.7841447508638799E-5</v>
      </c>
      <c r="P61" s="9">
        <f ca="1">L61*$K$4</f>
        <v>6.4530399911741438E-5</v>
      </c>
      <c r="Q61" s="9">
        <f ca="1">(K61-L61)*$K$4</f>
        <v>8.9867693923071231E-6</v>
      </c>
      <c r="R61" s="9">
        <f ca="1">O61+P61+Q61</f>
        <v>5.5675721795409762E-5</v>
      </c>
    </row>
    <row r="62" spans="10:18" x14ac:dyDescent="0.35">
      <c r="J62" t="str">
        <f>J5</f>
        <v>Financials</v>
      </c>
      <c r="K62" s="9">
        <f ca="1">OFFSET(Raw_Weights!$C$2,35,0)</f>
        <v>0.13234906593193346</v>
      </c>
      <c r="L62" s="9">
        <f ca="1">OFFSET(Raw_Weights!$D$2,35,0)</f>
        <v>0.15258517471572869</v>
      </c>
      <c r="M62" s="9">
        <f ca="1">OFFSET(Raw_Returns!$B$2,3,2)</f>
        <v>7.9750538399335588E-2</v>
      </c>
      <c r="N62" s="9" cm="1">
        <f t="array" aca="1" ref="N62" ca="1">SUMPRODUCT(OFFSET(Raw_Weights!$D$2,33,0,11,1),TRANSPOSE(OFFSET(Raw_Returns!$B$2,3,0,1,11)))</f>
        <v>6.7089626276733372E-2</v>
      </c>
      <c r="O62" s="9">
        <f ca="1">(K62-L62)*(M62-N62)</f>
        <v>-2.5620759501505019E-4</v>
      </c>
      <c r="P62" s="9">
        <f ca="1">L62*$K$5</f>
        <v>1.525851747157287E-4</v>
      </c>
      <c r="Q62" s="9">
        <f ca="1">(K62-L62)*$K$5</f>
        <v>-2.0236108783795225E-5</v>
      </c>
      <c r="R62" s="9">
        <f ca="1">O62+P62+Q62</f>
        <v>-1.2385852908311672E-4</v>
      </c>
    </row>
    <row r="63" spans="10:18" x14ac:dyDescent="0.35">
      <c r="J63" t="str">
        <f>J6</f>
        <v>Consumer Discretionary</v>
      </c>
      <c r="K63" s="9">
        <f ca="1">OFFSET(Raw_Weights!$C$2,36,0)</f>
        <v>0.11935461772393362</v>
      </c>
      <c r="L63" s="9">
        <f ca="1">OFFSET(Raw_Weights!$D$2,36,0)</f>
        <v>0.10058315398795785</v>
      </c>
      <c r="M63" s="9">
        <f ca="1">OFFSET(Raw_Returns!$B$2,3,3)</f>
        <v>7.5003787499258887E-2</v>
      </c>
      <c r="N63" s="9" cm="1">
        <f t="array" aca="1" ref="N63" ca="1">SUMPRODUCT(OFFSET(Raw_Weights!$D$2,33,0,11,1),TRANSPOSE(OFFSET(Raw_Returns!$B$2,3,0,1,11)))</f>
        <v>6.7089626276733372E-2</v>
      </c>
      <c r="O63" s="9">
        <f ca="1">(K63-L63)*(M63-N63)</f>
        <v>1.4856039038930335E-4</v>
      </c>
      <c r="P63" s="9">
        <f ca="1">L63*$K$6</f>
        <v>3.0174946196387351E-5</v>
      </c>
      <c r="Q63" s="9">
        <f ca="1">(K63-L63)*$K$6</f>
        <v>5.6314391207927301E-6</v>
      </c>
      <c r="R63" s="9">
        <f ca="1">O63+P63+Q63</f>
        <v>1.8436677570648344E-4</v>
      </c>
    </row>
    <row r="64" spans="10:18" x14ac:dyDescent="0.35">
      <c r="J64" t="str">
        <f>J7</f>
        <v>Industrials</v>
      </c>
      <c r="K64" s="9">
        <f ca="1">OFFSET(Raw_Weights!$C$2,37,0)</f>
        <v>0.10030030732773333</v>
      </c>
      <c r="L64" s="9">
        <f ca="1">OFFSET(Raw_Weights!$D$2,37,0)</f>
        <v>0.10698528164293823</v>
      </c>
      <c r="M64" s="9">
        <f ca="1">OFFSET(Raw_Returns!$B$2,3,4)</f>
        <v>4.8443121487523652E-2</v>
      </c>
      <c r="N64" s="9" cm="1">
        <f t="array" aca="1" ref="N64" ca="1">SUMPRODUCT(OFFSET(Raw_Weights!$D$2,33,0,11,1),TRANSPOSE(OFFSET(Raw_Returns!$B$2,3,0,1,11)))</f>
        <v>6.7089626276733372E-2</v>
      </c>
      <c r="O64" s="9">
        <f ca="1">(K64-L64)*(M64-N64)</f>
        <v>1.2465140558421214E-4</v>
      </c>
      <c r="P64" s="9">
        <f ca="1">L64*$K$7</f>
        <v>-2.1397056328587647E-5</v>
      </c>
      <c r="Q64" s="9">
        <f ca="1">(K64-L64)*$K$7</f>
        <v>1.3369948630409801E-6</v>
      </c>
      <c r="R64" s="9">
        <f ca="1">O64+P64+Q64</f>
        <v>1.0459134411866548E-4</v>
      </c>
    </row>
    <row r="65" spans="10:18" x14ac:dyDescent="0.35">
      <c r="J65" t="str">
        <f>J8</f>
        <v>Communication Services</v>
      </c>
      <c r="K65" s="9">
        <f ca="1">OFFSET(Raw_Weights!$C$2,38,0)</f>
        <v>7.944151687342671E-2</v>
      </c>
      <c r="L65" s="9">
        <f ca="1">OFFSET(Raw_Weights!$D$2,38,0)</f>
        <v>8.6100159183492217E-2</v>
      </c>
      <c r="M65" s="9">
        <f ca="1">OFFSET(Raw_Returns!$B$2,3,5)</f>
        <v>8.5359244343825497E-2</v>
      </c>
      <c r="N65" s="9" cm="1">
        <f t="array" aca="1" ref="N65" ca="1">SUMPRODUCT(OFFSET(Raw_Weights!$D$2,33,0,11,1),TRANSPOSE(OFFSET(Raw_Returns!$B$2,3,0,1,11)))</f>
        <v>6.7089626276733372E-2</v>
      </c>
      <c r="O65" s="9">
        <f ca="1">(K65-L65)*(M65-N65)</f>
        <v>-1.2165085185027683E-4</v>
      </c>
      <c r="P65" s="9">
        <f ca="1">L65*$K$8</f>
        <v>6.8880127346793773E-5</v>
      </c>
      <c r="Q65" s="9">
        <f ca="1">(K65-L65)*$K$8</f>
        <v>-5.326913848052406E-6</v>
      </c>
      <c r="R65" s="9">
        <f ca="1">O65+P65+Q65</f>
        <v>-5.8097638351535459E-5</v>
      </c>
    </row>
    <row r="66" spans="10:18" x14ac:dyDescent="0.35">
      <c r="J66" t="str">
        <f>J9</f>
        <v>Consumer Staples</v>
      </c>
      <c r="K66" s="9">
        <f ca="1">OFFSET(Raw_Weights!$C$2,39,0)</f>
        <v>3.518103350049704E-2</v>
      </c>
      <c r="L66" s="9">
        <f ca="1">OFFSET(Raw_Weights!$D$2,39,0)</f>
        <v>6.8057315509879576E-2</v>
      </c>
      <c r="M66" s="9">
        <f ca="1">OFFSET(Raw_Returns!$B$2,3,6)</f>
        <v>5.1373798459802347E-2</v>
      </c>
      <c r="N66" s="9" cm="1">
        <f t="array" aca="1" ref="N66" ca="1">SUMPRODUCT(OFFSET(Raw_Weights!$D$2,33,0,11,1),TRANSPOSE(OFFSET(Raw_Returns!$B$2,3,0,1,11)))</f>
        <v>6.7089626276733372E-2</v>
      </c>
      <c r="O66" s="9">
        <f ca="1">(K66-L66)*(M66-N66)</f>
        <v>5.1667798732032305E-4</v>
      </c>
      <c r="P66" s="9">
        <f ca="1">L66*$K$9</f>
        <v>6.8057315509879578E-5</v>
      </c>
      <c r="Q66" s="9">
        <f ca="1">(K66-L66)*$K$9</f>
        <v>-3.2876282009382536E-5</v>
      </c>
      <c r="R66" s="9">
        <f ca="1">O66+P66+Q66</f>
        <v>5.5185902082082003E-4</v>
      </c>
    </row>
    <row r="67" spans="10:18" x14ac:dyDescent="0.35">
      <c r="J67" t="str">
        <f>J10</f>
        <v>Energy</v>
      </c>
      <c r="K67" s="9">
        <f ca="1">OFFSET(Raw_Weights!$C$2,40,0)</f>
        <v>3.3284999164703823E-2</v>
      </c>
      <c r="L67" s="9">
        <f ca="1">OFFSET(Raw_Weights!$D$2,40,0)</f>
        <v>4.2407305986182364E-2</v>
      </c>
      <c r="M67" s="9">
        <f ca="1">OFFSET(Raw_Returns!$B$2,3,7)</f>
        <v>5.7337332163185969E-2</v>
      </c>
      <c r="N67" s="9" cm="1">
        <f t="array" aca="1" ref="N67" ca="1">SUMPRODUCT(OFFSET(Raw_Weights!$D$2,33,0,11,1),TRANSPOSE(OFFSET(Raw_Returns!$B$2,3,0,1,11)))</f>
        <v>6.7089626276733372E-2</v>
      </c>
      <c r="O67" s="9">
        <f ca="1">(K67-L67)*(M67-N67)</f>
        <v>8.8963419117078495E-5</v>
      </c>
      <c r="P67" s="9">
        <f ca="1">L67*$K$10</f>
        <v>2.1203652993091182E-5</v>
      </c>
      <c r="Q67" s="9">
        <f ca="1">(K67-L67)*$K$10</f>
        <v>-4.5611534107392707E-6</v>
      </c>
      <c r="R67" s="9">
        <f ca="1">O67+P67+Q67</f>
        <v>1.056059186994304E-4</v>
      </c>
    </row>
    <row r="68" spans="10:18" x14ac:dyDescent="0.35">
      <c r="J68" t="str">
        <f>J11</f>
        <v>Materials</v>
      </c>
      <c r="K68" s="9">
        <f ca="1">OFFSET(Raw_Weights!$C$2,41,0)</f>
        <v>3.1784094729227733E-2</v>
      </c>
      <c r="L68" s="9">
        <f ca="1">OFFSET(Raw_Weights!$D$2,41,0)</f>
        <v>4.0101038704904175E-2</v>
      </c>
      <c r="M68" s="9">
        <f ca="1">OFFSET(Raw_Returns!$B$2,3,8)</f>
        <v>6.8390916747336675E-2</v>
      </c>
      <c r="N68" s="9" cm="1">
        <f t="array" aca="1" ref="N68" ca="1">SUMPRODUCT(OFFSET(Raw_Weights!$D$2,33,0,11,1),TRANSPOSE(OFFSET(Raw_Returns!$B$2,3,0,1,11)))</f>
        <v>6.7089626276733372E-2</v>
      </c>
      <c r="O68" s="9">
        <f ca="1">(K68-L68)*(M68-N68)</f>
        <v>-1.0822759940089303E-5</v>
      </c>
      <c r="P68" s="9">
        <f ca="1">L68*$K$11</f>
        <v>-1.2030311611471251E-5</v>
      </c>
      <c r="Q68" s="9">
        <f ca="1">(K68-L68)*$K$11</f>
        <v>2.4950831927029324E-6</v>
      </c>
      <c r="R68" s="9">
        <f ca="1">O68+P68+Q68</f>
        <v>-2.0357988358857622E-5</v>
      </c>
    </row>
    <row r="69" spans="10:18" x14ac:dyDescent="0.35">
      <c r="J69" t="str">
        <f>J12</f>
        <v>Utilities</v>
      </c>
      <c r="K69" s="9">
        <f ca="1">OFFSET(Raw_Weights!$C$2,42,0)</f>
        <v>2.2050815611339831E-2</v>
      </c>
      <c r="L69" s="9">
        <f ca="1">OFFSET(Raw_Weights!$D$2,42,0)</f>
        <v>2.1306399503349321E-2</v>
      </c>
      <c r="M69" s="9">
        <f ca="1">OFFSET(Raw_Returns!$B$2,3,9)</f>
        <v>9.8696355851309384E-3</v>
      </c>
      <c r="N69" s="9" cm="1">
        <f t="array" aca="1" ref="N69" ca="1">SUMPRODUCT(OFFSET(Raw_Weights!$D$2,33,0,11,1),TRANSPOSE(OFFSET(Raw_Returns!$B$2,3,0,1,11)))</f>
        <v>6.7089626276733372E-2</v>
      </c>
      <c r="O69" s="9">
        <f ca="1">(K69-L69)*(M69-N69)</f>
        <v>-4.2595482769895899E-5</v>
      </c>
      <c r="P69" s="9">
        <f ca="1">L69*$K$12</f>
        <v>4.2612799006698647E-6</v>
      </c>
      <c r="Q69" s="9">
        <f ca="1">(K69-L69)*$K$12</f>
        <v>1.4888322159810204E-7</v>
      </c>
      <c r="R69" s="9">
        <f ca="1">O69+P69+Q69</f>
        <v>-3.8185319647627927E-5</v>
      </c>
    </row>
    <row r="70" spans="10:18" x14ac:dyDescent="0.35">
      <c r="J70" t="str">
        <f>J13</f>
        <v>Real Estate</v>
      </c>
      <c r="K70" s="9">
        <f ca="1">OFFSET(Raw_Weights!$C$2,43,0)</f>
        <v>1.5657912647246607E-2</v>
      </c>
      <c r="L70" s="9">
        <f ca="1">OFFSET(Raw_Weights!$D$2,43,0)</f>
        <v>1.6258822107105358E-2</v>
      </c>
      <c r="M70" s="9">
        <f ca="1">OFFSET(Raw_Returns!$B$2,3,10)</f>
        <v>8.2689583792591545E-2</v>
      </c>
      <c r="N70" s="9" cm="1">
        <f t="array" aca="1" ref="N70" ca="1">SUMPRODUCT(OFFSET(Raw_Weights!$D$2,33,0,11,1),TRANSPOSE(OFFSET(Raw_Returns!$B$2,3,0,1,11)))</f>
        <v>6.7089626276733372E-2</v>
      </c>
      <c r="O70" s="9">
        <f ca="1">(K70-L70)*(M70-N70)</f>
        <v>-9.3741620446738121E-6</v>
      </c>
      <c r="P70" s="9">
        <f ca="1">L70*$K$13</f>
        <v>1.6258822107105359E-6</v>
      </c>
      <c r="Q70" s="9">
        <f ca="1">(K70-L70)*$K$13</f>
        <v>-6.0090945985875191E-8</v>
      </c>
      <c r="R70" s="9">
        <f ca="1">O70+P70+Q70</f>
        <v>-7.80837077994915E-6</v>
      </c>
    </row>
    <row r="72" spans="10:18" x14ac:dyDescent="0.35">
      <c r="J72" s="39">
        <v>45962</v>
      </c>
    </row>
    <row r="73" spans="10:18" x14ac:dyDescent="0.35">
      <c r="J73" s="40" t="s">
        <v>53</v>
      </c>
      <c r="K73" s="40" t="s">
        <v>55</v>
      </c>
      <c r="L73" s="40" t="s">
        <v>56</v>
      </c>
      <c r="M73" s="40" t="s">
        <v>57</v>
      </c>
      <c r="N73" s="40" t="s">
        <v>58</v>
      </c>
      <c r="O73" s="40" t="s">
        <v>59</v>
      </c>
      <c r="P73" s="40" t="s">
        <v>60</v>
      </c>
      <c r="Q73" s="40" t="s">
        <v>61</v>
      </c>
      <c r="R73" s="40" t="s">
        <v>62</v>
      </c>
    </row>
    <row r="74" spans="10:18" x14ac:dyDescent="0.35">
      <c r="J74" t="str">
        <f>J3</f>
        <v>Information Technology</v>
      </c>
      <c r="K74" s="9">
        <f ca="1">OFFSET(Raw_Weights!$C$2,44,0)</f>
        <v>0.27545069836951619</v>
      </c>
      <c r="L74" s="9">
        <f ca="1">OFFSET(Raw_Weights!$D$2,44,0)</f>
        <v>0.23503215006331932</v>
      </c>
      <c r="M74" s="9">
        <f ca="1">OFFSET(Raw_Returns!$B$2,4,0)</f>
        <v>-2.1827677643961929E-2</v>
      </c>
      <c r="N74" s="9" cm="1">
        <f t="array" aca="1" ref="N74" ca="1">SUMPRODUCT(OFFSET(Raw_Weights!$D$2,44,0,11,1),TRANSPOSE(OFFSET(Raw_Returns!$B$2,4,0,1,11)))</f>
        <v>-7.1877049199908678E-3</v>
      </c>
      <c r="O74" s="9">
        <f ca="1">(K74-L74)*(M74-N74)</f>
        <v>-5.9172644474522892E-4</v>
      </c>
      <c r="P74" s="9">
        <f ca="1">L74*$K$3</f>
        <v>2.3503215006331931E-4</v>
      </c>
      <c r="Q74" s="9">
        <f ca="1">(K74-L74)*$K$3</f>
        <v>4.0418548306196872E-5</v>
      </c>
      <c r="R74" s="9">
        <f ca="1">O74+P74+Q74</f>
        <v>-3.1627574637571273E-4</v>
      </c>
    </row>
    <row r="75" spans="10:18" x14ac:dyDescent="0.35">
      <c r="J75" t="str">
        <f>J4</f>
        <v>Health Care</v>
      </c>
      <c r="K75" s="9">
        <f ca="1">OFFSET(Raw_Weights!$C$2,45,0)</f>
        <v>0.14553098462970682</v>
      </c>
      <c r="L75" s="9">
        <f ca="1">OFFSET(Raw_Weights!$D$2,45,0)</f>
        <v>0.13560680189461385</v>
      </c>
      <c r="M75" s="9">
        <f ca="1">OFFSET(Raw_Returns!$B$2,4,1)</f>
        <v>-1.3173988538969523E-2</v>
      </c>
      <c r="N75" s="9" cm="1">
        <f t="array" aca="1" ref="N75" ca="1">SUMPRODUCT(OFFSET(Raw_Weights!$D$2,44,0,11,1),TRANSPOSE(OFFSET(Raw_Returns!$B$2,4,0,1,11)))</f>
        <v>-7.1877049199908678E-3</v>
      </c>
      <c r="O75" s="9">
        <f ca="1">(K75-L75)*(M75-N75)</f>
        <v>-5.9408972538837783E-5</v>
      </c>
      <c r="P75" s="9">
        <f ca="1">L75*$K$4</f>
        <v>6.7803400947306932E-5</v>
      </c>
      <c r="Q75" s="9">
        <f ca="1">(K75-L75)*$K$4</f>
        <v>4.9620913675464811E-6</v>
      </c>
      <c r="R75" s="9">
        <f ca="1">O75+P75+Q75</f>
        <v>1.335651977601563E-5</v>
      </c>
    </row>
    <row r="76" spans="10:18" x14ac:dyDescent="0.35">
      <c r="J76" t="str">
        <f>J5</f>
        <v>Financials</v>
      </c>
      <c r="K76" s="9">
        <f ca="1">OFFSET(Raw_Weights!$C$2,46,0)</f>
        <v>0.12934108496232985</v>
      </c>
      <c r="L76" s="9">
        <f ca="1">OFFSET(Raw_Weights!$D$2,46,0)</f>
        <v>0.14475375193249843</v>
      </c>
      <c r="M76" s="9">
        <f ca="1">OFFSET(Raw_Returns!$B$2,4,2)</f>
        <v>1.3266583112081426E-2</v>
      </c>
      <c r="N76" s="9" cm="1">
        <f t="array" aca="1" ref="N76" ca="1">SUMPRODUCT(OFFSET(Raw_Weights!$D$2,44,0,11,1),TRANSPOSE(OFFSET(Raw_Returns!$B$2,4,0,1,11)))</f>
        <v>-7.1877049199908678E-3</v>
      </c>
      <c r="O76" s="9">
        <f ca="1">(K76-L76)*(M76-N76)</f>
        <v>-3.1525512955023503E-4</v>
      </c>
      <c r="P76" s="9">
        <f ca="1">L76*$K$5</f>
        <v>1.4475375193249843E-4</v>
      </c>
      <c r="Q76" s="9">
        <f ca="1">(K76-L76)*$K$5</f>
        <v>-1.5412666970168576E-5</v>
      </c>
      <c r="R76" s="9">
        <f ca="1">O76+P76+Q76</f>
        <v>-1.8591404458790517E-4</v>
      </c>
    </row>
    <row r="77" spans="10:18" x14ac:dyDescent="0.35">
      <c r="J77" t="str">
        <f>J6</f>
        <v>Consumer Discretionary</v>
      </c>
      <c r="K77" s="9">
        <f ca="1">OFFSET(Raw_Weights!$C$2,47,0)</f>
        <v>0.12141369102255134</v>
      </c>
      <c r="L77" s="9">
        <f ca="1">OFFSET(Raw_Weights!$D$2,47,0)</f>
        <v>0.10160646089921482</v>
      </c>
      <c r="M77" s="9">
        <f ca="1">OFFSET(Raw_Returns!$B$2,4,3)</f>
        <v>-1.5177801992839302E-2</v>
      </c>
      <c r="N77" s="9" cm="1">
        <f t="array" aca="1" ref="N77" ca="1">SUMPRODUCT(OFFSET(Raw_Weights!$D$2,44,0,11,1),TRANSPOSE(OFFSET(Raw_Returns!$B$2,4,0,1,11)))</f>
        <v>-7.1877049199908678E-3</v>
      </c>
      <c r="O77" s="9">
        <f ca="1">(K77-L77)*(M77-N77)</f>
        <v>-1.5826169142970641E-4</v>
      </c>
      <c r="P77" s="9">
        <f ca="1">L77*$K$6</f>
        <v>3.0481938269764443E-5</v>
      </c>
      <c r="Q77" s="9">
        <f ca="1">(K77-L77)*$K$6</f>
        <v>5.9421690370009545E-6</v>
      </c>
      <c r="R77" s="9">
        <f ca="1">O77+P77+Q77</f>
        <v>-1.2183758412294102E-4</v>
      </c>
    </row>
    <row r="78" spans="10:18" x14ac:dyDescent="0.35">
      <c r="J78" t="str">
        <f>J7</f>
        <v>Industrials</v>
      </c>
      <c r="K78" s="9">
        <f ca="1">OFFSET(Raw_Weights!$C$2,48,0)</f>
        <v>9.872588068815151E-2</v>
      </c>
      <c r="L78" s="9">
        <f ca="1">OFFSET(Raw_Weights!$D$2,48,0)</f>
        <v>0.10594917339365068</v>
      </c>
      <c r="M78" s="9">
        <f ca="1">OFFSET(Raw_Returns!$B$2,4,4)</f>
        <v>1.4816074709503852E-2</v>
      </c>
      <c r="N78" s="9" cm="1">
        <f t="array" aca="1" ref="N78" ca="1">SUMPRODUCT(OFFSET(Raw_Weights!$D$2,44,0,11,1),TRANSPOSE(OFFSET(Raw_Returns!$B$2,4,0,1,11)))</f>
        <v>-7.1877049199908678E-3</v>
      </c>
      <c r="O78" s="9">
        <f ca="1">(K78-L78)*(M78-N78)</f>
        <v>-1.5893974089114035E-4</v>
      </c>
      <c r="P78" s="9">
        <f ca="1">L78*$K$7</f>
        <v>-2.1189834678730135E-5</v>
      </c>
      <c r="Q78" s="9">
        <f ca="1">(K78-L78)*$K$7</f>
        <v>1.4446585410998332E-6</v>
      </c>
      <c r="R78" s="9">
        <f ca="1">O78+P78+Q78</f>
        <v>-1.7868491702877065E-4</v>
      </c>
    </row>
    <row r="79" spans="10:18" x14ac:dyDescent="0.35">
      <c r="J79" t="str">
        <f>J8</f>
        <v>Communication Services</v>
      </c>
      <c r="K79" s="9">
        <f ca="1">OFFSET(Raw_Weights!$C$2,49,0)</f>
        <v>8.6779876331107439E-2</v>
      </c>
      <c r="L79" s="9">
        <f ca="1">OFFSET(Raw_Weights!$D$2,49,0)</f>
        <v>7.7460435793708968E-2</v>
      </c>
      <c r="M79" s="9">
        <f ca="1">OFFSET(Raw_Returns!$B$2,4,5)</f>
        <v>3.7480637582998615E-4</v>
      </c>
      <c r="N79" s="9" cm="1">
        <f t="array" aca="1" ref="N79" ca="1">SUMPRODUCT(OFFSET(Raw_Weights!$D$2,44,0,11,1),TRANSPOSE(OFFSET(Raw_Returns!$B$2,4,0,1,11)))</f>
        <v>-7.1877049199908678E-3</v>
      </c>
      <c r="O79" s="9">
        <f ca="1">(K79-L79)*(M79-N79)</f>
        <v>7.0478374334806708E-5</v>
      </c>
      <c r="P79" s="9">
        <f ca="1">L79*$K$8</f>
        <v>6.1968348634967182E-5</v>
      </c>
      <c r="Q79" s="9">
        <f ca="1">(K79-L79)*$K$8</f>
        <v>7.455552429918777E-6</v>
      </c>
      <c r="R79" s="9">
        <f ca="1">O79+P79+Q79</f>
        <v>1.3990227539969265E-4</v>
      </c>
    </row>
    <row r="80" spans="10:18" x14ac:dyDescent="0.35">
      <c r="J80" t="str">
        <f>J9</f>
        <v>Consumer Staples</v>
      </c>
      <c r="K80" s="9">
        <f ca="1">OFFSET(Raw_Weights!$C$2,50,0)</f>
        <v>3.8632611453151666E-2</v>
      </c>
      <c r="L80" s="9">
        <f ca="1">OFFSET(Raw_Weights!$D$2,50,0)</f>
        <v>5.8949431308798511E-2</v>
      </c>
      <c r="M80" s="9">
        <f ca="1">OFFSET(Raw_Returns!$B$2,4,6)</f>
        <v>-1.148319181814751E-2</v>
      </c>
      <c r="N80" s="9" cm="1">
        <f t="array" aca="1" ref="N80" ca="1">SUMPRODUCT(OFFSET(Raw_Weights!$D$2,44,0,11,1),TRANSPOSE(OFFSET(Raw_Returns!$B$2,4,0,1,11)))</f>
        <v>-7.1877049199908678E-3</v>
      </c>
      <c r="O80" s="9">
        <f ca="1">(K80-L80)*(M80-N80)</f>
        <v>8.727063350213974E-5</v>
      </c>
      <c r="P80" s="9">
        <f ca="1">L80*$K$9</f>
        <v>5.8949431308798512E-5</v>
      </c>
      <c r="Q80" s="9">
        <f ca="1">(K80-L80)*$K$9</f>
        <v>-2.0316819855646846E-5</v>
      </c>
      <c r="R80" s="9">
        <f ca="1">O80+P80+Q80</f>
        <v>1.2590324495529142E-4</v>
      </c>
    </row>
    <row r="81" spans="10:18" x14ac:dyDescent="0.35">
      <c r="J81" t="str">
        <f>J10</f>
        <v>Energy</v>
      </c>
      <c r="K81" s="9">
        <f ca="1">OFFSET(Raw_Weights!$C$2,51,0)</f>
        <v>2.7778364812340958E-2</v>
      </c>
      <c r="L81" s="9">
        <f ca="1">OFFSET(Raw_Weights!$D$2,51,0)</f>
        <v>4.2589809296902342E-2</v>
      </c>
      <c r="M81" s="9">
        <f ca="1">OFFSET(Raw_Returns!$B$2,4,7)</f>
        <v>-2.9536936331048383E-2</v>
      </c>
      <c r="N81" s="9" cm="1">
        <f t="array" aca="1" ref="N81" ca="1">SUMPRODUCT(OFFSET(Raw_Weights!$D$2,44,0,11,1),TRANSPOSE(OFFSET(Raw_Returns!$B$2,4,0,1,11)))</f>
        <v>-7.1877049199908678E-3</v>
      </c>
      <c r="O81" s="9">
        <f ca="1">(K81-L81)*(M81-N81)</f>
        <v>3.3102440031749386E-4</v>
      </c>
      <c r="P81" s="9">
        <f ca="1">L81*$K$10</f>
        <v>2.1294904648451171E-5</v>
      </c>
      <c r="Q81" s="9">
        <f ca="1">(K81-L81)*$K$10</f>
        <v>-7.4057222422806924E-6</v>
      </c>
      <c r="R81" s="9">
        <f ca="1">O81+P81+Q81</f>
        <v>3.4491358272366438E-4</v>
      </c>
    </row>
    <row r="82" spans="10:18" x14ac:dyDescent="0.35">
      <c r="J82" t="str">
        <f>J11</f>
        <v>Materials</v>
      </c>
      <c r="K82" s="9">
        <f ca="1">OFFSET(Raw_Weights!$C$2,52,0)</f>
        <v>3.5877015556030019E-2</v>
      </c>
      <c r="L82" s="9">
        <f ca="1">OFFSET(Raw_Weights!$D$2,52,0)</f>
        <v>4.8786647003649597E-2</v>
      </c>
      <c r="M82" s="9">
        <f ca="1">OFFSET(Raw_Returns!$B$2,4,8)</f>
        <v>-1.6153079011290957E-4</v>
      </c>
      <c r="N82" s="9" cm="1">
        <f t="array" aca="1" ref="N82" ca="1">SUMPRODUCT(OFFSET(Raw_Weights!$D$2,44,0,11,1),TRANSPOSE(OFFSET(Raw_Returns!$B$2,4,0,1,11)))</f>
        <v>-7.1877049199908678E-3</v>
      </c>
      <c r="O82" s="9">
        <f ca="1">(K82-L82)*(M82-N82)</f>
        <v>-9.0705318503523624E-5</v>
      </c>
      <c r="P82" s="9">
        <f ca="1">L82*$K$11</f>
        <v>-1.4635994101094879E-5</v>
      </c>
      <c r="Q82" s="9">
        <f ca="1">(K82-L82)*$K$11</f>
        <v>3.872889434285873E-6</v>
      </c>
      <c r="R82" s="9">
        <f ca="1">O82+P82+Q82</f>
        <v>-1.0146842317033264E-4</v>
      </c>
    </row>
    <row r="83" spans="10:18" x14ac:dyDescent="0.35">
      <c r="J83" t="str">
        <f>J12</f>
        <v>Utilities</v>
      </c>
      <c r="K83" s="9">
        <f ca="1">OFFSET(Raw_Weights!$C$2,53,0)</f>
        <v>2.2541267153203429E-2</v>
      </c>
      <c r="L83" s="9">
        <f ca="1">OFFSET(Raw_Weights!$D$2,53,0)</f>
        <v>1.8680025540756349E-2</v>
      </c>
      <c r="M83" s="9">
        <f ca="1">OFFSET(Raw_Returns!$B$2,4,9)</f>
        <v>1.0985767632092015E-2</v>
      </c>
      <c r="N83" s="9" cm="1">
        <f t="array" aca="1" ref="N83" ca="1">SUMPRODUCT(OFFSET(Raw_Weights!$D$2,44,0,11,1),TRANSPOSE(OFFSET(Raw_Returns!$B$2,4,0,1,11)))</f>
        <v>-7.1877049199908678E-3</v>
      </c>
      <c r="O83" s="9">
        <f ca="1">(K83-L83)*(M83-N83)</f>
        <v>7.0172168460767273E-5</v>
      </c>
      <c r="P83" s="9">
        <f ca="1">L83*$K$12</f>
        <v>3.7360051081512701E-6</v>
      </c>
      <c r="Q83" s="9">
        <f ca="1">(K83-L83)*$K$12</f>
        <v>7.7224832248941611E-7</v>
      </c>
      <c r="R83" s="9">
        <f ca="1">O83+P83+Q83</f>
        <v>7.4680421891407955E-5</v>
      </c>
    </row>
    <row r="84" spans="10:18" x14ac:dyDescent="0.35">
      <c r="J84" t="str">
        <f>J13</f>
        <v>Real Estate</v>
      </c>
      <c r="K84" s="9">
        <f ca="1">OFFSET(Raw_Weights!$C$2,54,0)</f>
        <v>1.7928525021910668E-2</v>
      </c>
      <c r="L84" s="9">
        <f ca="1">OFFSET(Raw_Weights!$D$2,54,0)</f>
        <v>3.0585312872887287E-2</v>
      </c>
      <c r="M84" s="9">
        <f ca="1">OFFSET(Raw_Returns!$B$2,4,10)</f>
        <v>-1.6689667088424821E-2</v>
      </c>
      <c r="N84" s="9" cm="1">
        <f t="array" aca="1" ref="N84" ca="1">SUMPRODUCT(OFFSET(Raw_Weights!$D$2,44,0,11,1),TRANSPOSE(OFFSET(Raw_Returns!$B$2,4,0,1,11)))</f>
        <v>-7.1877049199908678E-3</v>
      </c>
      <c r="O84" s="9">
        <f ca="1">(K84-L84)*(M84-N84)</f>
        <v>1.2026431933387431E-4</v>
      </c>
      <c r="P84" s="9">
        <f ca="1">L84*$K$13</f>
        <v>3.0585312872887287E-6</v>
      </c>
      <c r="Q84" s="9">
        <f ca="1">(K84-L84)*$K$13</f>
        <v>-1.2656787850976619E-6</v>
      </c>
      <c r="R84" s="9">
        <f ca="1">O84+P84+Q84</f>
        <v>1.2205717183606537E-4</v>
      </c>
    </row>
    <row r="86" spans="10:18" x14ac:dyDescent="0.35">
      <c r="J86" s="39">
        <v>45992</v>
      </c>
    </row>
    <row r="87" spans="10:18" x14ac:dyDescent="0.35">
      <c r="J87" s="40" t="s">
        <v>53</v>
      </c>
      <c r="K87" s="40" t="s">
        <v>55</v>
      </c>
      <c r="L87" s="40" t="s">
        <v>56</v>
      </c>
      <c r="M87" s="40" t="s">
        <v>57</v>
      </c>
      <c r="N87" s="40" t="s">
        <v>58</v>
      </c>
      <c r="O87" s="40" t="s">
        <v>59</v>
      </c>
      <c r="P87" s="40" t="s">
        <v>60</v>
      </c>
      <c r="Q87" s="40" t="s">
        <v>61</v>
      </c>
      <c r="R87" s="40" t="s">
        <v>62</v>
      </c>
    </row>
    <row r="88" spans="10:18" x14ac:dyDescent="0.35">
      <c r="J88" t="str">
        <f>J3</f>
        <v>Information Technology</v>
      </c>
      <c r="K88" s="9">
        <f ca="1">OFFSET(Raw_Weights!$C$2,55,0)</f>
        <v>0.28279937766569407</v>
      </c>
      <c r="L88" s="9">
        <f ca="1">OFFSET(Raw_Weights!$D$2,55,0)</f>
        <v>0.2290224651262148</v>
      </c>
      <c r="M88" s="9">
        <f ca="1">OFFSET(Raw_Returns!$B$2,5,0)</f>
        <v>4.714646632243173E-3</v>
      </c>
      <c r="N88" s="9" cm="1">
        <f t="array" aca="1" ref="N88" ca="1">SUMPRODUCT(OFFSET(Raw_Weights!$D$2,55,0,11,1),TRANSPOSE(OFFSET(Raw_Returns!$B$2,5,0,1,11)))</f>
        <v>7.1871822830335934E-3</v>
      </c>
      <c r="O88" s="9">
        <f ca="1">(K88-L88)*(M88-N88)</f>
        <v>-1.3296533344330091E-4</v>
      </c>
      <c r="P88" s="9">
        <f ca="1">L88*$K$3</f>
        <v>2.2902246512621481E-4</v>
      </c>
      <c r="Q88" s="9">
        <f ca="1">(K88-L88)*$K$3</f>
        <v>5.3776912539479278E-5</v>
      </c>
      <c r="R88" s="9">
        <f ca="1">O88+P88+Q88</f>
        <v>1.4983404422239317E-4</v>
      </c>
    </row>
    <row r="89" spans="10:18" x14ac:dyDescent="0.35">
      <c r="J89" t="str">
        <f>J4</f>
        <v>Health Care</v>
      </c>
      <c r="K89" s="9">
        <f ca="1">OFFSET(Raw_Weights!$C$2,56,0)</f>
        <v>0.14505803728824945</v>
      </c>
      <c r="L89" s="9">
        <f ca="1">OFFSET(Raw_Weights!$D$2,56,0)</f>
        <v>0.13226977590536282</v>
      </c>
      <c r="M89" s="9">
        <f ca="1">OFFSET(Raw_Returns!$B$2,5,1)</f>
        <v>-6.9945315321376742E-3</v>
      </c>
      <c r="N89" s="9" cm="1">
        <f t="array" aca="1" ref="N89" ca="1">SUMPRODUCT(OFFSET(Raw_Weights!$D$2,55,0,11,1),TRANSPOSE(OFFSET(Raw_Returns!$B$2,5,0,1,11)))</f>
        <v>7.1871822830335934E-3</v>
      </c>
      <c r="O89" s="9">
        <f ca="1">(K89-L89)*(M89-N89)</f>
        <v>-1.8135946312570461E-4</v>
      </c>
      <c r="P89" s="9">
        <f ca="1">L89*$K$4</f>
        <v>6.6134887952681409E-5</v>
      </c>
      <c r="Q89" s="9">
        <f ca="1">(K89-L89)*$K$4</f>
        <v>6.3941306914433175E-6</v>
      </c>
      <c r="R89" s="9">
        <f ca="1">O89+P89+Q89</f>
        <v>-1.0883044448157988E-4</v>
      </c>
    </row>
    <row r="90" spans="10:18" x14ac:dyDescent="0.35">
      <c r="J90" t="str">
        <f>J5</f>
        <v>Financials</v>
      </c>
      <c r="K90" s="9">
        <f ca="1">OFFSET(Raw_Weights!$C$2,57,0)</f>
        <v>0.13434385283677405</v>
      </c>
      <c r="L90" s="9">
        <f ca="1">OFFSET(Raw_Weights!$D$2,57,0)</f>
        <v>0.15833863851549154</v>
      </c>
      <c r="M90" s="9">
        <f ca="1">OFFSET(Raw_Returns!$B$2,5,2)</f>
        <v>1.9253395180354657E-3</v>
      </c>
      <c r="N90" s="9" cm="1">
        <f t="array" aca="1" ref="N90" ca="1">SUMPRODUCT(OFFSET(Raw_Weights!$D$2,55,0,11,1),TRANSPOSE(OFFSET(Raw_Returns!$B$2,5,0,1,11)))</f>
        <v>7.1871822830335934E-3</v>
      </c>
      <c r="O90" s="9">
        <f ca="1">(K90-L90)*(M90-N90)</f>
        <v>1.2625678942124031E-4</v>
      </c>
      <c r="P90" s="9">
        <f ca="1">L90*$K$5</f>
        <v>1.5833863851549154E-4</v>
      </c>
      <c r="Q90" s="9">
        <f ca="1">(K90-L90)*$K$5</f>
        <v>-2.399478567871749E-5</v>
      </c>
      <c r="R90" s="9">
        <f ca="1">O90+P90+Q90</f>
        <v>2.6060064225801434E-4</v>
      </c>
    </row>
    <row r="91" spans="10:18" x14ac:dyDescent="0.35">
      <c r="J91" t="str">
        <f>J6</f>
        <v>Consumer Discretionary</v>
      </c>
      <c r="K91" s="9">
        <f ca="1">OFFSET(Raw_Weights!$C$2,58,0)</f>
        <v>0.12165052179227072</v>
      </c>
      <c r="L91" s="9">
        <f ca="1">OFFSET(Raw_Weights!$D$2,58,0)</f>
        <v>0.10108003918608259</v>
      </c>
      <c r="M91" s="9">
        <f ca="1">OFFSET(Raw_Returns!$B$2,5,3)</f>
        <v>1.059495184325669E-2</v>
      </c>
      <c r="N91" s="9" cm="1">
        <f t="array" aca="1" ref="N91" ca="1">SUMPRODUCT(OFFSET(Raw_Weights!$D$2,55,0,11,1),TRANSPOSE(OFFSET(Raw_Returns!$B$2,5,0,1,11)))</f>
        <v>7.1871822830335934E-3</v>
      </c>
      <c r="O91" s="9">
        <f ca="1">(K91-L91)*(M91-N91)</f>
        <v>7.0099464464466583E-5</v>
      </c>
      <c r="P91" s="9">
        <f ca="1">L91*$K$6</f>
        <v>3.0324011755824775E-5</v>
      </c>
      <c r="Q91" s="9">
        <f ca="1">(K91-L91)*$K$6</f>
        <v>6.1711447818564382E-6</v>
      </c>
      <c r="R91" s="9">
        <f ca="1">O91+P91+Q91</f>
        <v>1.0659462100214779E-4</v>
      </c>
    </row>
    <row r="92" spans="10:18" x14ac:dyDescent="0.35">
      <c r="J92" t="str">
        <f>J7</f>
        <v>Industrials</v>
      </c>
      <c r="K92" s="9">
        <f ca="1">OFFSET(Raw_Weights!$C$2,59,0)</f>
        <v>9.8406444515960242E-2</v>
      </c>
      <c r="L92" s="9">
        <f ca="1">OFFSET(Raw_Weights!$D$2,59,0)</f>
        <v>9.44615585405255E-2</v>
      </c>
      <c r="M92" s="9">
        <f ca="1">OFFSET(Raw_Returns!$B$2,5,4)</f>
        <v>2.5691048379550878E-2</v>
      </c>
      <c r="N92" s="9" cm="1">
        <f t="array" aca="1" ref="N92" ca="1">SUMPRODUCT(OFFSET(Raw_Weights!$D$2,55,0,11,1),TRANSPOSE(OFFSET(Raw_Returns!$B$2,5,0,1,11)))</f>
        <v>7.1871822830335934E-3</v>
      </c>
      <c r="O92" s="9">
        <f ca="1">(K92-L92)*(M92-N92)</f>
        <v>7.2995641855473436E-5</v>
      </c>
      <c r="P92" s="9">
        <f ca="1">L92*$K$7</f>
        <v>-1.8892311708105102E-5</v>
      </c>
      <c r="Q92" s="9">
        <f ca="1">(K92-L92)*$K$7</f>
        <v>-7.8897719508694841E-7</v>
      </c>
      <c r="R92" s="9">
        <f ca="1">O92+P92+Q92</f>
        <v>5.3314352952281386E-5</v>
      </c>
    </row>
    <row r="93" spans="10:18" x14ac:dyDescent="0.35">
      <c r="J93" t="str">
        <f>J8</f>
        <v>Communication Services</v>
      </c>
      <c r="K93" s="9">
        <f ca="1">OFFSET(Raw_Weights!$C$2,60,0)</f>
        <v>8.2497049379576512E-2</v>
      </c>
      <c r="L93" s="9">
        <f ca="1">OFFSET(Raw_Weights!$D$2,60,0)</f>
        <v>7.4262234136168712E-2</v>
      </c>
      <c r="M93" s="9">
        <f ca="1">OFFSET(Raw_Returns!$B$2,5,5)</f>
        <v>-7.3456252872845717E-3</v>
      </c>
      <c r="N93" s="9" cm="1">
        <f t="array" aca="1" ref="N93" ca="1">SUMPRODUCT(OFFSET(Raw_Weights!$D$2,55,0,11,1),TRANSPOSE(OFFSET(Raw_Returns!$B$2,5,0,1,11)))</f>
        <v>7.1871822830335934E-3</v>
      </c>
      <c r="O93" s="9">
        <f ca="1">(K93-L93)*(M93-N93)</f>
        <v>-1.1967498530956832E-4</v>
      </c>
      <c r="P93" s="9">
        <f ca="1">L93*$K$8</f>
        <v>5.9409787308934972E-5</v>
      </c>
      <c r="Q93" s="9">
        <f ca="1">(K93-L93)*$K$8</f>
        <v>6.5878521947262402E-6</v>
      </c>
      <c r="R93" s="9">
        <f ca="1">O93+P93+Q93</f>
        <v>-5.3677345805907104E-5</v>
      </c>
    </row>
    <row r="94" spans="10:18" x14ac:dyDescent="0.35">
      <c r="J94" t="str">
        <f>J9</f>
        <v>Consumer Staples</v>
      </c>
      <c r="K94" s="9">
        <f ca="1">OFFSET(Raw_Weights!$C$2,61,0)</f>
        <v>3.6254689641862251E-2</v>
      </c>
      <c r="L94" s="9">
        <f ca="1">OFFSET(Raw_Weights!$D$2,61,0)</f>
        <v>7.3683036164153906E-2</v>
      </c>
      <c r="M94" s="9">
        <f ca="1">OFFSET(Raw_Returns!$B$2,5,6)</f>
        <v>9.3777877815884279E-3</v>
      </c>
      <c r="N94" s="9" cm="1">
        <f t="array" aca="1" ref="N94" ca="1">SUMPRODUCT(OFFSET(Raw_Weights!$D$2,55,0,11,1),TRANSPOSE(OFFSET(Raw_Returns!$B$2,5,0,1,11)))</f>
        <v>7.1871822830335934E-3</v>
      </c>
      <c r="O94" s="9">
        <f ca="1">(K94-L94)*(M94-N94)</f>
        <v>-8.1990741693547826E-5</v>
      </c>
      <c r="P94" s="9">
        <f ca="1">L94*$K$9</f>
        <v>7.3683036164153912E-5</v>
      </c>
      <c r="Q94" s="9">
        <f ca="1">(K94-L94)*$K$9</f>
        <v>-3.7428346522291657E-5</v>
      </c>
      <c r="R94" s="9">
        <f ca="1">O94+P94+Q94</f>
        <v>-4.573605205168557E-5</v>
      </c>
    </row>
    <row r="95" spans="10:18" x14ac:dyDescent="0.35">
      <c r="J95" t="str">
        <f>J10</f>
        <v>Energy</v>
      </c>
      <c r="K95" s="9">
        <f ca="1">OFFSET(Raw_Weights!$C$2,62,0)</f>
        <v>3.0856165039491505E-2</v>
      </c>
      <c r="L95" s="9">
        <f ca="1">OFFSET(Raw_Weights!$D$2,62,0)</f>
        <v>4.3104550476980051E-2</v>
      </c>
      <c r="M95" s="9">
        <f ca="1">OFFSET(Raw_Returns!$B$2,5,7)</f>
        <v>-9.6418369054776798E-3</v>
      </c>
      <c r="N95" s="9" cm="1">
        <f t="array" aca="1" ref="N95" ca="1">SUMPRODUCT(OFFSET(Raw_Weights!$D$2,55,0,11,1),TRANSPOSE(OFFSET(Raw_Returns!$B$2,5,0,1,11)))</f>
        <v>7.1871822830335934E-3</v>
      </c>
      <c r="O95" s="9">
        <f ca="1">(K95-L95)*(M95-N95)</f>
        <v>2.0612831355577678E-4</v>
      </c>
      <c r="P95" s="9">
        <f ca="1">L95*$K$10</f>
        <v>2.1552275238490026E-5</v>
      </c>
      <c r="Q95" s="9">
        <f ca="1">(K95-L95)*$K$10</f>
        <v>-6.1241927187442732E-6</v>
      </c>
      <c r="R95" s="9">
        <f ca="1">O95+P95+Q95</f>
        <v>2.2155639607552254E-4</v>
      </c>
    </row>
    <row r="96" spans="10:18" x14ac:dyDescent="0.35">
      <c r="J96" t="str">
        <f>J11</f>
        <v>Materials</v>
      </c>
      <c r="K96" s="9">
        <f ca="1">OFFSET(Raw_Weights!$C$2,63,0)</f>
        <v>3.1160939341832086E-2</v>
      </c>
      <c r="L96" s="9">
        <f ca="1">OFFSET(Raw_Weights!$D$2,63,0)</f>
        <v>4.7542518231906104E-2</v>
      </c>
      <c r="M96" s="9">
        <f ca="1">OFFSET(Raw_Returns!$B$2,5,8)</f>
        <v>4.7899363971738503E-2</v>
      </c>
      <c r="N96" s="9" cm="1">
        <f t="array" aca="1" ref="N96" ca="1">SUMPRODUCT(OFFSET(Raw_Weights!$D$2,55,0,11,1),TRANSPOSE(OFFSET(Raw_Returns!$B$2,5,0,1,11)))</f>
        <v>7.1871822830335934E-3</v>
      </c>
      <c r="O96" s="9">
        <f ca="1">(K96-L96)*(M96-N96)</f>
        <v>-6.6692981612054638E-4</v>
      </c>
      <c r="P96" s="9">
        <f ca="1">L96*$K$11</f>
        <v>-1.426275546957183E-5</v>
      </c>
      <c r="Q96" s="9">
        <f ca="1">(K96-L96)*$K$11</f>
        <v>4.9144736670222054E-6</v>
      </c>
      <c r="R96" s="9">
        <f ca="1">O96+P96+Q96</f>
        <v>-6.7627809792309595E-4</v>
      </c>
    </row>
    <row r="97" spans="10:18" x14ac:dyDescent="0.35">
      <c r="J97" t="str">
        <f>J12</f>
        <v>Utilities</v>
      </c>
      <c r="K97" s="9">
        <f ca="1">OFFSET(Raw_Weights!$C$2,64,0)</f>
        <v>2.0336471788799302E-2</v>
      </c>
      <c r="L97" s="9">
        <f ca="1">OFFSET(Raw_Weights!$D$2,64,0)</f>
        <v>3.1035255106150347E-2</v>
      </c>
      <c r="M97" s="9">
        <f ca="1">OFFSET(Raw_Returns!$B$2,5,9)</f>
        <v>4.3058099463317602E-2</v>
      </c>
      <c r="N97" s="9" cm="1">
        <f t="array" aca="1" ref="N97" ca="1">SUMPRODUCT(OFFSET(Raw_Weights!$D$2,55,0,11,1),TRANSPOSE(OFFSET(Raw_Returns!$B$2,5,0,1,11)))</f>
        <v>7.1871822830335934E-3</v>
      </c>
      <c r="O97" s="9">
        <f ca="1">(K97-L97)*(M97-N97)</f>
        <v>-3.8377517030650354E-4</v>
      </c>
      <c r="P97" s="9">
        <f ca="1">L97*$K$12</f>
        <v>6.2070510212300697E-6</v>
      </c>
      <c r="Q97" s="9">
        <f ca="1">(K97-L97)*$K$12</f>
        <v>-2.139756663470209E-6</v>
      </c>
      <c r="R97" s="9">
        <f ca="1">O97+P97+Q97</f>
        <v>-3.7970787594874368E-4</v>
      </c>
    </row>
    <row r="98" spans="10:18" x14ac:dyDescent="0.35">
      <c r="J98" t="str">
        <f>J13</f>
        <v>Real Estate</v>
      </c>
      <c r="K98" s="9">
        <f ca="1">OFFSET(Raw_Weights!$C$2,65,0)</f>
        <v>1.6636450709489714E-2</v>
      </c>
      <c r="L98" s="9">
        <f ca="1">OFFSET(Raw_Weights!$D$2,65,0)</f>
        <v>1.5199928610963725E-2</v>
      </c>
      <c r="M98" s="9">
        <f ca="1">OFFSET(Raw_Returns!$B$2,5,10)</f>
        <v>-7.4653390325889286E-3</v>
      </c>
      <c r="N98" s="9" cm="1">
        <f t="array" aca="1" ref="N98" ca="1">SUMPRODUCT(OFFSET(Raw_Weights!$D$2,55,0,11,1),TRANSPOSE(OFFSET(Raw_Returns!$B$2,5,0,1,11)))</f>
        <v>7.1871822830335934E-3</v>
      </c>
      <c r="O98" s="9">
        <f ca="1">(K98-L98)*(M98-N98)</f>
        <v>-2.1048670669014847E-5</v>
      </c>
      <c r="P98" s="9">
        <f ca="1">L98*$K$13</f>
        <v>1.5199928610963725E-6</v>
      </c>
      <c r="Q98" s="9">
        <f ca="1">(K98-L98)*$K$13</f>
        <v>1.4365220985259887E-7</v>
      </c>
      <c r="R98" s="9">
        <f ca="1">O98+P98+Q98</f>
        <v>-1.9385025598065878E-5</v>
      </c>
    </row>
    <row r="100" spans="10:18" x14ac:dyDescent="0.35">
      <c r="J100" s="39">
        <v>46023</v>
      </c>
    </row>
    <row r="101" spans="10:18" x14ac:dyDescent="0.35">
      <c r="J101" s="40" t="s">
        <v>53</v>
      </c>
      <c r="K101" s="40" t="s">
        <v>55</v>
      </c>
      <c r="L101" s="40" t="s">
        <v>56</v>
      </c>
      <c r="M101" s="40" t="s">
        <v>57</v>
      </c>
      <c r="N101" s="40" t="s">
        <v>58</v>
      </c>
      <c r="O101" s="40" t="s">
        <v>59</v>
      </c>
      <c r="P101" s="40" t="s">
        <v>60</v>
      </c>
      <c r="Q101" s="40" t="s">
        <v>61</v>
      </c>
      <c r="R101" s="40" t="s">
        <v>62</v>
      </c>
    </row>
    <row r="102" spans="10:18" x14ac:dyDescent="0.35">
      <c r="J102" t="str">
        <f>J3</f>
        <v>Information Technology</v>
      </c>
      <c r="K102" s="9">
        <f ca="1">OFFSET(Raw_Weights!$C$2,66,0)</f>
        <v>0.28121682927914232</v>
      </c>
      <c r="L102" s="9">
        <f ca="1">OFFSET(Raw_Weights!$D$2,66,0)</f>
        <v>0.23058827501177689</v>
      </c>
      <c r="M102" s="9">
        <f ca="1">OFFSET(Raw_Returns!$B$2,6,0)</f>
        <v>6.3683308002915787E-2</v>
      </c>
      <c r="N102" s="9" cm="1">
        <f t="array" aca="1" ref="N102" ca="1">SUMPRODUCT(OFFSET(Raw_Weights!$D$2,66,0,11,1),TRANSPOSE(OFFSET(Raw_Returns!$B$2,6,0,1,11)))</f>
        <v>6.7997407199152538E-2</v>
      </c>
      <c r="O102" s="9">
        <f ca="1">(K102-L102)*(M102-N102)</f>
        <v>-2.1841660527146991E-4</v>
      </c>
      <c r="P102" s="9">
        <f ca="1">L102*$K$3</f>
        <v>2.3058827501177691E-4</v>
      </c>
      <c r="Q102" s="9">
        <f ca="1">(K102-L102)*$K$3</f>
        <v>5.0628554267365427E-5</v>
      </c>
      <c r="R102" s="9">
        <f ca="1">O102+P102+Q102</f>
        <v>6.2800224007672419E-5</v>
      </c>
    </row>
    <row r="103" spans="10:18" x14ac:dyDescent="0.35">
      <c r="J103" t="str">
        <f>J4</f>
        <v>Health Care</v>
      </c>
      <c r="K103" s="9">
        <f ca="1">OFFSET(Raw_Weights!$C$2,67,0)</f>
        <v>0.14540425897232387</v>
      </c>
      <c r="L103" s="9">
        <f ca="1">OFFSET(Raw_Weights!$D$2,67,0)</f>
        <v>0.1224770674447704</v>
      </c>
      <c r="M103" s="9">
        <f ca="1">OFFSET(Raw_Returns!$B$2,6,1)</f>
        <v>4.8459103482663378E-2</v>
      </c>
      <c r="N103" s="9" cm="1">
        <f t="array" aca="1" ref="N103" ca="1">SUMPRODUCT(OFFSET(Raw_Weights!$D$2,66,0,11,1),TRANSPOSE(OFFSET(Raw_Returns!$B$2,6,0,1,11)))</f>
        <v>6.7997407199152538E-2</v>
      </c>
      <c r="O103" s="9">
        <f ca="1">(K103-L103)*(M103-N103)</f>
        <v>-4.4795843143145679E-4</v>
      </c>
      <c r="P103" s="9">
        <f ca="1">L103*$K$4</f>
        <v>6.1238533722385202E-5</v>
      </c>
      <c r="Q103" s="9">
        <f ca="1">(K103-L103)*$K$4</f>
        <v>1.1463595763776737E-5</v>
      </c>
      <c r="R103" s="9">
        <f ca="1">O103+P103+Q103</f>
        <v>-3.7525630194529486E-4</v>
      </c>
    </row>
    <row r="104" spans="10:18" x14ac:dyDescent="0.35">
      <c r="J104" t="str">
        <f>J5</f>
        <v>Financials</v>
      </c>
      <c r="K104" s="9">
        <f ca="1">OFFSET(Raw_Weights!$C$2,68,0)</f>
        <v>0.13341797799711108</v>
      </c>
      <c r="L104" s="9">
        <f ca="1">OFFSET(Raw_Weights!$D$2,68,0)</f>
        <v>0.15200328863465329</v>
      </c>
      <c r="M104" s="9">
        <f ca="1">OFFSET(Raw_Returns!$B$2,6,2)</f>
        <v>7.5972398234560423E-2</v>
      </c>
      <c r="N104" s="9" cm="1">
        <f t="array" aca="1" ref="N104" ca="1">SUMPRODUCT(OFFSET(Raw_Weights!$D$2,66,0,11,1),TRANSPOSE(OFFSET(Raw_Returns!$B$2,6,0,1,11)))</f>
        <v>6.7997407199152538E-2</v>
      </c>
      <c r="O104" s="9">
        <f ca="1">(K104-L104)*(M104-N104)</f>
        <v>-1.4821768572466991E-4</v>
      </c>
      <c r="P104" s="9">
        <f ca="1">L104*$K$5</f>
        <v>1.5200328863465329E-4</v>
      </c>
      <c r="Q104" s="9">
        <f ca="1">(K104-L104)*$K$5</f>
        <v>-1.8585310637542208E-5</v>
      </c>
      <c r="R104" s="9">
        <f ca="1">O104+P104+Q104</f>
        <v>-1.4799707727558831E-5</v>
      </c>
    </row>
    <row r="105" spans="10:18" x14ac:dyDescent="0.35">
      <c r="J105" t="str">
        <f>J6</f>
        <v>Consumer Discretionary</v>
      </c>
      <c r="K105" s="9">
        <f ca="1">OFFSET(Raw_Weights!$C$2,69,0)</f>
        <v>0.11754785170521703</v>
      </c>
      <c r="L105" s="9">
        <f ca="1">OFFSET(Raw_Weights!$D$2,69,0)</f>
        <v>0.11034267823582039</v>
      </c>
      <c r="M105" s="9">
        <f ca="1">OFFSET(Raw_Returns!$B$2,6,3)</f>
        <v>0.10602220559427382</v>
      </c>
      <c r="N105" s="9" cm="1">
        <f t="array" aca="1" ref="N105" ca="1">SUMPRODUCT(OFFSET(Raw_Weights!$D$2,66,0,11,1),TRANSPOSE(OFFSET(Raw_Returns!$B$2,6,0,1,11)))</f>
        <v>6.7997407199152538E-2</v>
      </c>
      <c r="O105" s="9">
        <f ca="1">(K105-L105)*(M105-N105)</f>
        <v>2.7397526857568386E-4</v>
      </c>
      <c r="P105" s="9">
        <f ca="1">L105*$K$6</f>
        <v>3.3102803470746115E-5</v>
      </c>
      <c r="Q105" s="9">
        <f ca="1">(K105-L105)*$K$6</f>
        <v>2.1615520408189922E-6</v>
      </c>
      <c r="R105" s="9">
        <f ca="1">O105+P105+Q105</f>
        <v>3.09239624087249E-4</v>
      </c>
    </row>
    <row r="106" spans="10:18" x14ac:dyDescent="0.35">
      <c r="J106" t="str">
        <f>J7</f>
        <v>Industrials</v>
      </c>
      <c r="K106" s="9">
        <f ca="1">OFFSET(Raw_Weights!$C$2,70,0)</f>
        <v>9.5164863482391129E-2</v>
      </c>
      <c r="L106" s="9">
        <f ca="1">OFFSET(Raw_Weights!$D$2,70,0)</f>
        <v>0.11790053811570995</v>
      </c>
      <c r="M106" s="9">
        <f ca="1">OFFSET(Raw_Returns!$B$2,6,4)</f>
        <v>7.3286735819703769E-2</v>
      </c>
      <c r="N106" s="9" cm="1">
        <f t="array" aca="1" ref="N106" ca="1">SUMPRODUCT(OFFSET(Raw_Weights!$D$2,66,0,11,1),TRANSPOSE(OFFSET(Raw_Returns!$B$2,6,0,1,11)))</f>
        <v>6.7997407199152538E-2</v>
      </c>
      <c r="O106" s="9">
        <f ca="1">(K106-L106)*(M106-N106)</f>
        <v>-1.2025645454555389E-4</v>
      </c>
      <c r="P106" s="9">
        <f ca="1">L106*$K$7</f>
        <v>-2.3580107623141991E-5</v>
      </c>
      <c r="Q106" s="9">
        <f ca="1">(K106-L106)*$K$7</f>
        <v>4.5471349266637654E-6</v>
      </c>
      <c r="R106" s="9">
        <f ca="1">O106+P106+Q106</f>
        <v>-1.392894272420321E-4</v>
      </c>
    </row>
    <row r="107" spans="10:18" x14ac:dyDescent="0.35">
      <c r="J107" t="str">
        <f>J8</f>
        <v>Communication Services</v>
      </c>
      <c r="K107" s="9">
        <f ca="1">OFFSET(Raw_Weights!$C$2,71,0)</f>
        <v>8.7706044756629575E-2</v>
      </c>
      <c r="L107" s="9">
        <f ca="1">OFFSET(Raw_Weights!$D$2,71,0)</f>
        <v>7.2540094739662803E-2</v>
      </c>
      <c r="M107" s="9">
        <f ca="1">OFFSET(Raw_Returns!$B$2,6,5)</f>
        <v>7.3003728151005712E-2</v>
      </c>
      <c r="N107" s="9" cm="1">
        <f t="array" aca="1" ref="N107" ca="1">SUMPRODUCT(OFFSET(Raw_Weights!$D$2,66,0,11,1),TRANSPOSE(OFFSET(Raw_Returns!$B$2,6,0,1,11)))</f>
        <v>6.7997407199152538E-2</v>
      </c>
      <c r="O107" s="9">
        <f ca="1">(K107-L107)*(M107-N107)</f>
        <v>7.5925613324698756E-5</v>
      </c>
      <c r="P107" s="9">
        <f ca="1">L107*$K$8</f>
        <v>5.8032075791730242E-5</v>
      </c>
      <c r="Q107" s="9">
        <f ca="1">(K107-L107)*$K$8</f>
        <v>1.2132760013573419E-5</v>
      </c>
      <c r="R107" s="9">
        <f ca="1">O107+P107+Q107</f>
        <v>1.460904491300024E-4</v>
      </c>
    </row>
    <row r="108" spans="10:18" x14ac:dyDescent="0.35">
      <c r="J108" t="str">
        <f>J9</f>
        <v>Consumer Staples</v>
      </c>
      <c r="K108" s="9">
        <f ca="1">OFFSET(Raw_Weights!$C$2,72,0)</f>
        <v>3.8545497830363332E-2</v>
      </c>
      <c r="L108" s="9">
        <f ca="1">OFFSET(Raw_Weights!$D$2,72,0)</f>
        <v>6.4883517277223801E-2</v>
      </c>
      <c r="M108" s="9">
        <f ca="1">OFFSET(Raw_Returns!$B$2,6,6)</f>
        <v>4.8201084190152989E-2</v>
      </c>
      <c r="N108" s="9" cm="1">
        <f t="array" aca="1" ref="N108" ca="1">SUMPRODUCT(OFFSET(Raw_Weights!$D$2,66,0,11,1),TRANSPOSE(OFFSET(Raw_Returns!$B$2,6,0,1,11)))</f>
        <v>6.7997407199152538E-2</v>
      </c>
      <c r="O108" s="9">
        <f ca="1">(K108-L108)*(M108-N108)</f>
        <v>5.2139594038736153E-4</v>
      </c>
      <c r="P108" s="9">
        <f ca="1">L108*$K$9</f>
        <v>6.4883517277223804E-5</v>
      </c>
      <c r="Q108" s="9">
        <f ca="1">(K108-L108)*$K$9</f>
        <v>-2.6338019446860471E-5</v>
      </c>
      <c r="R108" s="9">
        <f ca="1">O108+P108+Q108</f>
        <v>5.5994143821772491E-4</v>
      </c>
    </row>
    <row r="109" spans="10:18" x14ac:dyDescent="0.35">
      <c r="J109" t="str">
        <f>J10</f>
        <v>Energy</v>
      </c>
      <c r="K109" s="9">
        <f ca="1">OFFSET(Raw_Weights!$C$2,73,0)</f>
        <v>2.8830349235362061E-2</v>
      </c>
      <c r="L109" s="9">
        <f ca="1">OFFSET(Raw_Weights!$D$2,73,0)</f>
        <v>4.2952210011816573E-2</v>
      </c>
      <c r="M109" s="9">
        <f ca="1">OFFSET(Raw_Returns!$B$2,6,7)</f>
        <v>5.7197371027730717E-2</v>
      </c>
      <c r="N109" s="9" cm="1">
        <f t="array" aca="1" ref="N109" ca="1">SUMPRODUCT(OFFSET(Raw_Weights!$D$2,66,0,11,1),TRANSPOSE(OFFSET(Raw_Returns!$B$2,6,0,1,11)))</f>
        <v>6.7997407199152538E-2</v>
      </c>
      <c r="O109" s="9">
        <f ca="1">(K109-L109)*(M109-N109)</f>
        <v>1.5251660719349175E-4</v>
      </c>
      <c r="P109" s="9">
        <f ca="1">L109*$K$10</f>
        <v>2.1476105005908288E-5</v>
      </c>
      <c r="Q109" s="9">
        <f ca="1">(K109-L109)*$K$10</f>
        <v>-7.0609303882272557E-6</v>
      </c>
      <c r="R109" s="9">
        <f ca="1">O109+P109+Q109</f>
        <v>1.6693178181117276E-4</v>
      </c>
    </row>
    <row r="110" spans="10:18" x14ac:dyDescent="0.35">
      <c r="J110" t="str">
        <f>J11</f>
        <v>Materials</v>
      </c>
      <c r="K110" s="9">
        <f ca="1">OFFSET(Raw_Weights!$C$2,74,0)</f>
        <v>3.795607815890957E-2</v>
      </c>
      <c r="L110" s="9">
        <f ca="1">OFFSET(Raw_Weights!$D$2,74,0)</f>
        <v>3.6204229670235857E-2</v>
      </c>
      <c r="M110" s="9">
        <f ca="1">OFFSET(Raw_Returns!$B$2,6,8)</f>
        <v>6.7321293324673209E-2</v>
      </c>
      <c r="N110" s="9" cm="1">
        <f t="array" aca="1" ref="N110" ca="1">SUMPRODUCT(OFFSET(Raw_Weights!$D$2,66,0,11,1),TRANSPOSE(OFFSET(Raw_Returns!$B$2,6,0,1,11)))</f>
        <v>6.7997407199152538E-2</v>
      </c>
      <c r="O110" s="9">
        <f ca="1">(K110-L110)*(M110-N110)</f>
        <v>-1.1844490691779397E-6</v>
      </c>
      <c r="P110" s="9">
        <f ca="1">L110*$K$11</f>
        <v>-1.0861268901070755E-5</v>
      </c>
      <c r="Q110" s="9">
        <f ca="1">(K110-L110)*$K$11</f>
        <v>-5.2555454660211386E-7</v>
      </c>
      <c r="R110" s="9">
        <f ca="1">O110+P110+Q110</f>
        <v>-1.2571272516850808E-5</v>
      </c>
    </row>
    <row r="111" spans="10:18" x14ac:dyDescent="0.35">
      <c r="J111" t="str">
        <f>J12</f>
        <v>Utilities</v>
      </c>
      <c r="K111" s="9">
        <f ca="1">OFFSET(Raw_Weights!$C$2,75,0)</f>
        <v>1.8115653681266938E-2</v>
      </c>
      <c r="L111" s="9">
        <f ca="1">OFFSET(Raw_Weights!$D$2,75,0)</f>
        <v>2.6171389177820942E-2</v>
      </c>
      <c r="M111" s="9">
        <f ca="1">OFFSET(Raw_Returns!$B$2,6,9)</f>
        <v>1.9331955438548851E-2</v>
      </c>
      <c r="N111" s="9" cm="1">
        <f t="array" aca="1" ref="N111" ca="1">SUMPRODUCT(OFFSET(Raw_Weights!$D$2,66,0,11,1),TRANSPOSE(OFFSET(Raw_Returns!$B$2,6,0,1,11)))</f>
        <v>6.7997407199152538E-2</v>
      </c>
      <c r="O111" s="9">
        <f ca="1">(K111-L111)*(M111-N111)</f>
        <v>3.9203600720373171E-4</v>
      </c>
      <c r="P111" s="9">
        <f ca="1">L111*$K$12</f>
        <v>5.2342778355641885E-6</v>
      </c>
      <c r="Q111" s="9">
        <f ca="1">(K111-L111)*$K$12</f>
        <v>-1.6111470993108009E-6</v>
      </c>
      <c r="R111" s="9">
        <f ca="1">O111+P111+Q111</f>
        <v>3.9565913793998509E-4</v>
      </c>
    </row>
    <row r="112" spans="10:18" x14ac:dyDescent="0.35">
      <c r="J112" t="str">
        <f>J13</f>
        <v>Real Estate</v>
      </c>
      <c r="K112" s="9">
        <f ca="1">OFFSET(Raw_Weights!$C$2,76,0)</f>
        <v>1.6094594901283021E-2</v>
      </c>
      <c r="L112" s="9">
        <f ca="1">OFFSET(Raw_Weights!$D$2,76,0)</f>
        <v>2.3936711680508902E-2</v>
      </c>
      <c r="M112" s="9">
        <f ca="1">OFFSET(Raw_Returns!$B$2,6,10)</f>
        <v>6.9646728812615147E-2</v>
      </c>
      <c r="N112" s="9" cm="1">
        <f t="array" aca="1" ref="N112" ca="1">SUMPRODUCT(OFFSET(Raw_Weights!$D$2,66,0,11,1),TRANSPOSE(OFFSET(Raw_Returns!$B$2,6,0,1,11)))</f>
        <v>6.7997407199152538E-2</v>
      </c>
      <c r="O112" s="9">
        <f ca="1">(K112-L112)*(M112-N112)</f>
        <v>-1.2934172699275032E-5</v>
      </c>
      <c r="P112" s="9">
        <f ca="1">L112*$K$13</f>
        <v>2.3936711680508902E-6</v>
      </c>
      <c r="Q112" s="9">
        <f ca="1">(K112-L112)*$K$13</f>
        <v>-7.8421167792258813E-7</v>
      </c>
      <c r="R112" s="9">
        <f ca="1">O112+P112+Q112</f>
        <v>-1.1324713209146728E-5</v>
      </c>
    </row>
    <row r="114" spans="10:18" x14ac:dyDescent="0.35">
      <c r="J114" s="39">
        <v>46054</v>
      </c>
    </row>
    <row r="115" spans="10:18" x14ac:dyDescent="0.35">
      <c r="J115" s="40" t="s">
        <v>53</v>
      </c>
      <c r="K115" s="40" t="s">
        <v>55</v>
      </c>
      <c r="L115" s="40" t="s">
        <v>56</v>
      </c>
      <c r="M115" s="40" t="s">
        <v>57</v>
      </c>
      <c r="N115" s="40" t="s">
        <v>58</v>
      </c>
      <c r="O115" s="40" t="s">
        <v>59</v>
      </c>
      <c r="P115" s="40" t="s">
        <v>60</v>
      </c>
      <c r="Q115" s="40" t="s">
        <v>61</v>
      </c>
      <c r="R115" s="40" t="s">
        <v>62</v>
      </c>
    </row>
    <row r="116" spans="10:18" x14ac:dyDescent="0.35">
      <c r="J116" t="str">
        <f>J3</f>
        <v>Information Technology</v>
      </c>
      <c r="K116" s="9">
        <f ca="1">OFFSET(Raw_Weights!$C$2,77,0)</f>
        <v>0.2806292021526916</v>
      </c>
      <c r="L116" s="9">
        <f ca="1">OFFSET(Raw_Weights!$D$2,77,0)</f>
        <v>0.23271768658785436</v>
      </c>
      <c r="M116" s="9">
        <f ca="1">OFFSET(Raw_Returns!$B$2,7,0)</f>
        <v>1.6255923514327971E-2</v>
      </c>
      <c r="N116" s="9" cm="1">
        <f t="array" aca="1" ref="N116" ca="1">SUMPRODUCT(OFFSET(Raw_Weights!$D$2,77,0,11,1),TRANSPOSE(OFFSET(Raw_Returns!$B$2,7,0,1,11)))</f>
        <v>3.7161807041726044E-2</v>
      </c>
      <c r="O116" s="9">
        <f ca="1">(K116-L116)*(M116-N116)</f>
        <v>-1.0016325640196074E-3</v>
      </c>
      <c r="P116" s="9">
        <f ca="1">L116*$K$3</f>
        <v>2.3271768658785435E-4</v>
      </c>
      <c r="Q116" s="9">
        <f ca="1">(K116-L116)*$K$3</f>
        <v>4.7911515564837251E-5</v>
      </c>
      <c r="R116" s="9">
        <f ca="1">O116+P116+Q116</f>
        <v>-7.2100336186691578E-4</v>
      </c>
    </row>
    <row r="117" spans="10:18" x14ac:dyDescent="0.35">
      <c r="J117" t="str">
        <f>J4</f>
        <v>Health Care</v>
      </c>
      <c r="K117" s="9">
        <f ca="1">OFFSET(Raw_Weights!$C$2,78,0)</f>
        <v>0.14267900140628179</v>
      </c>
      <c r="L117" s="9">
        <f ca="1">OFFSET(Raw_Weights!$D$2,78,0)</f>
        <v>0.1176465937048634</v>
      </c>
      <c r="M117" s="9">
        <f ca="1">OFFSET(Raw_Returns!$B$2,7,1)</f>
        <v>6.9938344481377659E-2</v>
      </c>
      <c r="N117" s="9" cm="1">
        <f t="array" aca="1" ref="N117" ca="1">SUMPRODUCT(OFFSET(Raw_Weights!$D$2,77,0,11,1),TRANSPOSE(OFFSET(Raw_Returns!$B$2,7,0,1,11)))</f>
        <v>3.7161807041726044E-2</v>
      </c>
      <c r="O117" s="9">
        <f ca="1">(K117-L117)*(M117-N117)</f>
        <v>8.2047564823016321E-4</v>
      </c>
      <c r="P117" s="9">
        <f ca="1">L117*$K$4</f>
        <v>5.8823296852431697E-5</v>
      </c>
      <c r="Q117" s="9">
        <f ca="1">(K117-L117)*$K$4</f>
        <v>1.2516203850709194E-5</v>
      </c>
      <c r="R117" s="9">
        <f ca="1">O117+P117+Q117</f>
        <v>8.9181514893330407E-4</v>
      </c>
    </row>
    <row r="118" spans="10:18" x14ac:dyDescent="0.35">
      <c r="J118" t="str">
        <f>J5</f>
        <v>Financials</v>
      </c>
      <c r="K118" s="9">
        <f ca="1">OFFSET(Raw_Weights!$C$2,79,0)</f>
        <v>0.13124199360121511</v>
      </c>
      <c r="L118" s="9">
        <f ca="1">OFFSET(Raw_Weights!$D$2,79,0)</f>
        <v>0.154522368998668</v>
      </c>
      <c r="M118" s="9">
        <f ca="1">OFFSET(Raw_Returns!$B$2,7,2)</f>
        <v>3.6545054170942219E-2</v>
      </c>
      <c r="N118" s="9" cm="1">
        <f t="array" aca="1" ref="N118" ca="1">SUMPRODUCT(OFFSET(Raw_Weights!$D$2,77,0,11,1),TRANSPOSE(OFFSET(Raw_Returns!$B$2,7,0,1,11)))</f>
        <v>3.7161807041726044E-2</v>
      </c>
      <c r="O118" s="9">
        <f ca="1">(K118-L118)*(M118-N118)</f>
        <v>1.4358238359304208E-5</v>
      </c>
      <c r="P118" s="9">
        <f ca="1">L118*$K$5</f>
        <v>1.54522368998668E-4</v>
      </c>
      <c r="Q118" s="9">
        <f ca="1">(K118-L118)*$K$5</f>
        <v>-2.3280375397452897E-5</v>
      </c>
      <c r="R118" s="9">
        <f ca="1">O118+P118+Q118</f>
        <v>1.456002319605193E-4</v>
      </c>
    </row>
    <row r="119" spans="10:18" x14ac:dyDescent="0.35">
      <c r="J119" t="str">
        <f>J6</f>
        <v>Consumer Discretionary</v>
      </c>
      <c r="K119" s="9">
        <f ca="1">OFFSET(Raw_Weights!$C$2,80,0)</f>
        <v>0.11981416204267813</v>
      </c>
      <c r="L119" s="9">
        <f ca="1">OFFSET(Raw_Weights!$D$2,80,0)</f>
        <v>0.10211075077699534</v>
      </c>
      <c r="M119" s="9">
        <f ca="1">OFFSET(Raw_Returns!$B$2,7,3)</f>
        <v>6.5062469381663601E-2</v>
      </c>
      <c r="N119" s="9" cm="1">
        <f t="array" aca="1" ref="N119" ca="1">SUMPRODUCT(OFFSET(Raw_Weights!$D$2,77,0,11,1),TRANSPOSE(OFFSET(Raw_Returns!$B$2,7,0,1,11)))</f>
        <v>3.7161807041726044E-2</v>
      </c>
      <c r="O119" s="9">
        <f ca="1">(K119-L119)*(M119-N119)</f>
        <v>4.9393689998886191E-4</v>
      </c>
      <c r="P119" s="9">
        <f ca="1">L119*$K$6</f>
        <v>3.06332252330986E-5</v>
      </c>
      <c r="Q119" s="9">
        <f ca="1">(K119-L119)*$K$6</f>
        <v>5.3110233797048346E-6</v>
      </c>
      <c r="R119" s="9">
        <f ca="1">O119+P119+Q119</f>
        <v>5.2988114860166543E-4</v>
      </c>
    </row>
    <row r="120" spans="10:18" x14ac:dyDescent="0.35">
      <c r="J120" t="str">
        <f>J7</f>
        <v>Industrials</v>
      </c>
      <c r="K120" s="9">
        <f ca="1">OFFSET(Raw_Weights!$C$2,81,0)</f>
        <v>9.7786343883241575E-2</v>
      </c>
      <c r="L120" s="9">
        <f ca="1">OFFSET(Raw_Weights!$D$2,81,0)</f>
        <v>0.11329847416895725</v>
      </c>
      <c r="M120" s="9">
        <f ca="1">OFFSET(Raw_Returns!$B$2,7,4)</f>
        <v>6.0702916582262664E-2</v>
      </c>
      <c r="N120" s="9" cm="1">
        <f t="array" aca="1" ref="N120" ca="1">SUMPRODUCT(OFFSET(Raw_Weights!$D$2,77,0,11,1),TRANSPOSE(OFFSET(Raw_Returns!$B$2,7,0,1,11)))</f>
        <v>3.7161807041726044E-2</v>
      </c>
      <c r="O120" s="9">
        <f ca="1">(K120-L120)*(M120-N120)</f>
        <v>-3.6517275826310826E-4</v>
      </c>
      <c r="P120" s="9">
        <f ca="1">L120*$K$7</f>
        <v>-2.265969483379145E-5</v>
      </c>
      <c r="Q120" s="9">
        <f ca="1">(K120-L120)*$K$7</f>
        <v>3.1024260571431347E-6</v>
      </c>
      <c r="R120" s="9">
        <f ca="1">O120+P120+Q120</f>
        <v>-3.8473002703975657E-4</v>
      </c>
    </row>
    <row r="121" spans="10:18" x14ac:dyDescent="0.35">
      <c r="J121" t="str">
        <f>J8</f>
        <v>Communication Services</v>
      </c>
      <c r="K121" s="9">
        <f ca="1">OFFSET(Raw_Weights!$C$2,82,0)</f>
        <v>8.4016290910470623E-2</v>
      </c>
      <c r="L121" s="9">
        <f ca="1">OFFSET(Raw_Weights!$D$2,82,0)</f>
        <v>7.567178318480966E-2</v>
      </c>
      <c r="M121" s="9">
        <f ca="1">OFFSET(Raw_Returns!$B$2,7,5)</f>
        <v>-1.0539891259015027E-3</v>
      </c>
      <c r="N121" s="9" cm="1">
        <f t="array" aca="1" ref="N121" ca="1">SUMPRODUCT(OFFSET(Raw_Weights!$D$2,77,0,11,1),TRANSPOSE(OFFSET(Raw_Returns!$B$2,7,0,1,11)))</f>
        <v>3.7161807041726044E-2</v>
      </c>
      <c r="O121" s="9">
        <f ca="1">(K121-L121)*(M121-N121)</f>
        <v>-3.188920063630527E-4</v>
      </c>
      <c r="P121" s="9">
        <f ca="1">L121*$K$8</f>
        <v>6.0537426547847729E-5</v>
      </c>
      <c r="Q121" s="9">
        <f ca="1">(K121-L121)*$K$8</f>
        <v>6.6756061805287705E-6</v>
      </c>
      <c r="R121" s="9">
        <f ca="1">O121+P121+Q121</f>
        <v>-2.5167897363467622E-4</v>
      </c>
    </row>
    <row r="122" spans="10:18" x14ac:dyDescent="0.35">
      <c r="J122" t="str">
        <f>J9</f>
        <v>Consumer Staples</v>
      </c>
      <c r="K122" s="9">
        <f ca="1">OFFSET(Raw_Weights!$C$2,83,0)</f>
        <v>4.3102851090753812E-2</v>
      </c>
      <c r="L122" s="9">
        <f ca="1">OFFSET(Raw_Weights!$D$2,83,0)</f>
        <v>6.2214883773739696E-2</v>
      </c>
      <c r="M122" s="9">
        <f ca="1">OFFSET(Raw_Returns!$B$2,7,6)</f>
        <v>4.4526202768633422E-2</v>
      </c>
      <c r="N122" s="9" cm="1">
        <f t="array" aca="1" ref="N122" ca="1">SUMPRODUCT(OFFSET(Raw_Weights!$D$2,77,0,11,1),TRANSPOSE(OFFSET(Raw_Returns!$B$2,7,0,1,11)))</f>
        <v>3.7161807041726044E-2</v>
      </c>
      <c r="O122" s="9">
        <f ca="1">(K122-L122)*(M122-N122)</f>
        <v>-1.4074857182309539E-4</v>
      </c>
      <c r="P122" s="9">
        <f ca="1">L122*$K$9</f>
        <v>6.2214883773739694E-5</v>
      </c>
      <c r="Q122" s="9">
        <f ca="1">(K122-L122)*$K$9</f>
        <v>-1.9112032682985884E-5</v>
      </c>
      <c r="R122" s="9">
        <f ca="1">O122+P122+Q122</f>
        <v>-9.7645720732341583E-5</v>
      </c>
    </row>
    <row r="123" spans="10:18" x14ac:dyDescent="0.35">
      <c r="J123" t="str">
        <f>J10</f>
        <v>Energy</v>
      </c>
      <c r="K123" s="9">
        <f ca="1">OFFSET(Raw_Weights!$C$2,84,0)</f>
        <v>3.2295561052676058E-2</v>
      </c>
      <c r="L123" s="9">
        <f ca="1">OFFSET(Raw_Weights!$D$2,84,0)</f>
        <v>4.7822867345103853E-2</v>
      </c>
      <c r="M123" s="9">
        <f ca="1">OFFSET(Raw_Returns!$B$2,7,7)</f>
        <v>1.8782104865072344E-2</v>
      </c>
      <c r="N123" s="9" cm="1">
        <f t="array" aca="1" ref="N123" ca="1">SUMPRODUCT(OFFSET(Raw_Weights!$D$2,77,0,11,1),TRANSPOSE(OFFSET(Raw_Returns!$B$2,7,0,1,11)))</f>
        <v>3.7161807041726044E-2</v>
      </c>
      <c r="O123" s="9">
        <f ca="1">(K123-L123)*(M123-N123)</f>
        <v>2.8538726526050384E-4</v>
      </c>
      <c r="P123" s="9">
        <f ca="1">L123*$K$10</f>
        <v>2.3911433672551925E-5</v>
      </c>
      <c r="Q123" s="9">
        <f ca="1">(K123-L123)*$K$10</f>
        <v>-7.763653146213897E-6</v>
      </c>
      <c r="R123" s="9">
        <f ca="1">O123+P123+Q123</f>
        <v>3.0153504578684184E-4</v>
      </c>
    </row>
    <row r="124" spans="10:18" x14ac:dyDescent="0.35">
      <c r="J124" t="str">
        <f>J11</f>
        <v>Materials</v>
      </c>
      <c r="K124" s="9">
        <f ca="1">OFFSET(Raw_Weights!$C$2,85,0)</f>
        <v>3.4906324511673401E-2</v>
      </c>
      <c r="L124" s="9">
        <f ca="1">OFFSET(Raw_Weights!$D$2,85,0)</f>
        <v>4.5292195543759434E-2</v>
      </c>
      <c r="M124" s="9">
        <f ca="1">OFFSET(Raw_Returns!$B$2,7,8)</f>
        <v>4.4728336012788604E-2</v>
      </c>
      <c r="N124" s="9" cm="1">
        <f t="array" aca="1" ref="N124" ca="1">SUMPRODUCT(OFFSET(Raw_Weights!$D$2,77,0,11,1),TRANSPOSE(OFFSET(Raw_Returns!$B$2,7,0,1,11)))</f>
        <v>3.7161807041726044E-2</v>
      </c>
      <c r="O124" s="9">
        <f ca="1">(K124-L124)*(M124-N124)</f>
        <v>-7.8584994053998382E-5</v>
      </c>
      <c r="P124" s="9">
        <f ca="1">L124*$K$11</f>
        <v>-1.3587658663127829E-5</v>
      </c>
      <c r="Q124" s="9">
        <f ca="1">(K124-L124)*$K$11</f>
        <v>3.1157613096258096E-6</v>
      </c>
      <c r="R124" s="9">
        <f ca="1">O124+P124+Q124</f>
        <v>-8.9056891407500395E-5</v>
      </c>
    </row>
    <row r="125" spans="10:18" x14ac:dyDescent="0.35">
      <c r="J125" t="str">
        <f>J12</f>
        <v>Utilities</v>
      </c>
      <c r="K125" s="9">
        <f ca="1">OFFSET(Raw_Weights!$C$2,86,0)</f>
        <v>1.8983984689629203E-2</v>
      </c>
      <c r="L125" s="9">
        <f ca="1">OFFSET(Raw_Weights!$D$2,86,0)</f>
        <v>2.7655548992114146E-2</v>
      </c>
      <c r="M125" s="9">
        <f ca="1">OFFSET(Raw_Returns!$B$2,7,9)</f>
        <v>9.9576094493085583E-3</v>
      </c>
      <c r="N125" s="9" cm="1">
        <f t="array" aca="1" ref="N125" ca="1">SUMPRODUCT(OFFSET(Raw_Weights!$D$2,77,0,11,1),TRANSPOSE(OFFSET(Raw_Returns!$B$2,7,0,1,11)))</f>
        <v>3.7161807041726044E-2</v>
      </c>
      <c r="O125" s="9">
        <f ca="1">(K125-L125)*(M125-N125)</f>
        <v>2.359029487201543E-4</v>
      </c>
      <c r="P125" s="9">
        <f ca="1">L125*$K$12</f>
        <v>5.5311097984228291E-6</v>
      </c>
      <c r="Q125" s="9">
        <f ca="1">(K125-L125)*$K$12</f>
        <v>-1.7343128604969887E-6</v>
      </c>
      <c r="R125" s="9">
        <f ca="1">O125+P125+Q125</f>
        <v>2.3969974565808013E-4</v>
      </c>
    </row>
    <row r="126" spans="10:18" x14ac:dyDescent="0.35">
      <c r="J126" t="str">
        <f>J13</f>
        <v>Real Estate</v>
      </c>
      <c r="K126" s="9">
        <f ca="1">OFFSET(Raw_Weights!$C$2,87,0)</f>
        <v>1.4544284658688745E-2</v>
      </c>
      <c r="L126" s="9">
        <f ca="1">OFFSET(Raw_Weights!$D$2,87,0)</f>
        <v>2.1046846923134726E-2</v>
      </c>
      <c r="M126" s="9">
        <f ca="1">OFFSET(Raw_Returns!$B$2,7,10)</f>
        <v>4.4057555459081632E-3</v>
      </c>
      <c r="N126" s="9" cm="1">
        <f t="array" aca="1" ref="N126" ca="1">SUMPRODUCT(OFFSET(Raw_Weights!$D$2,77,0,11,1),TRANSPOSE(OFFSET(Raw_Returns!$B$2,7,0,1,11)))</f>
        <v>3.7161807041726044E-2</v>
      </c>
      <c r="O126" s="9">
        <f ca="1">(K126-L126)*(M126-N126)</f>
        <v>2.1299826438895468E-4</v>
      </c>
      <c r="P126" s="9">
        <f ca="1">L126*$K$13</f>
        <v>2.1046846923134728E-6</v>
      </c>
      <c r="Q126" s="9">
        <f ca="1">(K126-L126)*$K$13</f>
        <v>-6.5025622644459814E-7</v>
      </c>
      <c r="R126" s="9">
        <f ca="1">O126+P126+Q126</f>
        <v>2.1445269285482358E-4</v>
      </c>
    </row>
    <row r="128" spans="10:18" x14ac:dyDescent="0.35">
      <c r="J128" s="39">
        <v>46082</v>
      </c>
    </row>
    <row r="129" spans="10:18" x14ac:dyDescent="0.35">
      <c r="J129" s="40" t="s">
        <v>53</v>
      </c>
      <c r="K129" s="40" t="s">
        <v>55</v>
      </c>
      <c r="L129" s="40" t="s">
        <v>56</v>
      </c>
      <c r="M129" s="40" t="s">
        <v>57</v>
      </c>
      <c r="N129" s="40" t="s">
        <v>58</v>
      </c>
      <c r="O129" s="40" t="s">
        <v>59</v>
      </c>
      <c r="P129" s="40" t="s">
        <v>60</v>
      </c>
      <c r="Q129" s="40" t="s">
        <v>61</v>
      </c>
      <c r="R129" s="40" t="s">
        <v>62</v>
      </c>
    </row>
    <row r="130" spans="10:18" x14ac:dyDescent="0.35">
      <c r="J130" t="str">
        <f>J3</f>
        <v>Information Technology</v>
      </c>
      <c r="K130" s="9">
        <f ca="1">OFFSET(Raw_Weights!$C$2,88,0)</f>
        <v>0.28133774969408892</v>
      </c>
      <c r="L130" s="9">
        <f ca="1">OFFSET(Raw_Weights!$D$2,88,0)</f>
        <v>0.23565125538435133</v>
      </c>
      <c r="M130" s="9">
        <f ca="1">OFFSET(Raw_Returns!$B$2,8,0)</f>
        <v>1.6917153625423287E-2</v>
      </c>
      <c r="N130" s="9" cm="1">
        <f t="array" aca="1" ref="N130" ca="1">SUMPRODUCT(OFFSET(Raw_Weights!$D$2,88,0,11,1),TRANSPOSE(OFFSET(Raw_Returns!$B$2,8,0,1,11)))</f>
        <v>-1.0863963518211809E-2</v>
      </c>
      <c r="O130" s="9">
        <f ca="1">(K130-L130)*(M130-N130)</f>
        <v>1.2692218503008383E-3</v>
      </c>
      <c r="P130" s="9">
        <f ca="1">L130*$K$3</f>
        <v>2.3565125538435133E-4</v>
      </c>
      <c r="Q130" s="9">
        <f ca="1">(K130-L130)*$K$3</f>
        <v>4.5686494309737595E-5</v>
      </c>
      <c r="R130" s="9">
        <f ca="1">O130+P130+Q130</f>
        <v>1.5505595999949272E-3</v>
      </c>
    </row>
    <row r="131" spans="10:18" x14ac:dyDescent="0.35">
      <c r="J131" t="str">
        <f>J4</f>
        <v>Health Care</v>
      </c>
      <c r="K131" s="9">
        <f ca="1">OFFSET(Raw_Weights!$C$2,89,0)</f>
        <v>0.15103680159935162</v>
      </c>
      <c r="L131" s="9">
        <f ca="1">OFFSET(Raw_Weights!$D$2,89,0)</f>
        <v>0.1209942701581021</v>
      </c>
      <c r="M131" s="9">
        <f ca="1">OFFSET(Raw_Returns!$B$2,8,1)</f>
        <v>-9.4320736165470504E-3</v>
      </c>
      <c r="N131" s="9" cm="1">
        <f t="array" aca="1" ref="N131" ca="1">SUMPRODUCT(OFFSET(Raw_Weights!$D$2,88,0,11,1),TRANSPOSE(OFFSET(Raw_Returns!$B$2,8,0,1,11)))</f>
        <v>-1.0863963518211809E-2</v>
      </c>
      <c r="O131" s="9">
        <f ca="1">(K131-L131)*(M131-N131)</f>
        <v>4.3017597391171204E-5</v>
      </c>
      <c r="P131" s="9">
        <f ca="1">L131*$K$4</f>
        <v>6.0497135079051054E-5</v>
      </c>
      <c r="Q131" s="9">
        <f ca="1">(K131-L131)*$K$4</f>
        <v>1.5021265720624761E-5</v>
      </c>
      <c r="R131" s="9">
        <f ca="1">O131+P131+Q131</f>
        <v>1.1853599819084701E-4</v>
      </c>
    </row>
    <row r="132" spans="10:18" x14ac:dyDescent="0.35">
      <c r="J132" t="str">
        <f>J5</f>
        <v>Financials</v>
      </c>
      <c r="K132" s="9">
        <f ca="1">OFFSET(Raw_Weights!$C$2,90,0)</f>
        <v>0.12615666822128951</v>
      </c>
      <c r="L132" s="9">
        <f ca="1">OFFSET(Raw_Weights!$D$2,90,0)</f>
        <v>0.15007580660303163</v>
      </c>
      <c r="M132" s="9">
        <f ca="1">OFFSET(Raw_Returns!$B$2,8,2)</f>
        <v>-4.1427312788486444E-2</v>
      </c>
      <c r="N132" s="9" cm="1">
        <f t="array" aca="1" ref="N132" ca="1">SUMPRODUCT(OFFSET(Raw_Weights!$D$2,88,0,11,1),TRANSPOSE(OFFSET(Raw_Returns!$B$2,8,0,1,11)))</f>
        <v>-1.0863963518211809E-2</v>
      </c>
      <c r="O132" s="9">
        <f ca="1">(K132-L132)*(M132-N132)</f>
        <v>7.3104898060521583E-4</v>
      </c>
      <c r="P132" s="9">
        <f ca="1">L132*$K$5</f>
        <v>1.5007580660303163E-4</v>
      </c>
      <c r="Q132" s="9">
        <f ca="1">(K132-L132)*$K$5</f>
        <v>-2.3919138381742117E-5</v>
      </c>
      <c r="R132" s="9">
        <f ca="1">O132+P132+Q132</f>
        <v>8.5720564882650532E-4</v>
      </c>
    </row>
    <row r="133" spans="10:18" x14ac:dyDescent="0.35">
      <c r="J133" t="str">
        <f>J6</f>
        <v>Consumer Discretionary</v>
      </c>
      <c r="K133" s="9">
        <f ca="1">OFFSET(Raw_Weights!$C$2,91,0)</f>
        <v>0.12218054974337506</v>
      </c>
      <c r="L133" s="9">
        <f ca="1">OFFSET(Raw_Weights!$D$2,91,0)</f>
        <v>0.11086878339686784</v>
      </c>
      <c r="M133" s="9">
        <f ca="1">OFFSET(Raw_Returns!$B$2,8,3)</f>
        <v>-2.9719120989330473E-2</v>
      </c>
      <c r="N133" s="9" cm="1">
        <f t="array" aca="1" ref="N133" ca="1">SUMPRODUCT(OFFSET(Raw_Weights!$D$2,88,0,11,1),TRANSPOSE(OFFSET(Raw_Returns!$B$2,8,0,1,11)))</f>
        <v>-1.0863963518211809E-2</v>
      </c>
      <c r="O133" s="9">
        <f ca="1">(K133-L133)*(M133-N133)</f>
        <v>-2.1328513573989414E-4</v>
      </c>
      <c r="P133" s="9">
        <f ca="1">L133*$K$6</f>
        <v>3.3260635019060349E-5</v>
      </c>
      <c r="Q133" s="9">
        <f ca="1">(K133-L133)*$K$6</f>
        <v>3.3935299039521637E-6</v>
      </c>
      <c r="R133" s="9">
        <f ca="1">O133+P133+Q133</f>
        <v>-1.7663097081688163E-4</v>
      </c>
    </row>
    <row r="134" spans="10:18" x14ac:dyDescent="0.35">
      <c r="J134" t="str">
        <f>J7</f>
        <v>Industrials</v>
      </c>
      <c r="K134" s="9">
        <f ca="1">OFFSET(Raw_Weights!$C$2,92,0)</f>
        <v>0.10172315412410575</v>
      </c>
      <c r="L134" s="9">
        <f ca="1">OFFSET(Raw_Weights!$D$2,92,0)</f>
        <v>0.11320047335539536</v>
      </c>
      <c r="M134" s="9">
        <f ca="1">OFFSET(Raw_Returns!$B$2,8,4)</f>
        <v>-4.0852037083153074E-3</v>
      </c>
      <c r="N134" s="9" cm="1">
        <f t="array" aca="1" ref="N134" ca="1">SUMPRODUCT(OFFSET(Raw_Weights!$D$2,88,0,11,1),TRANSPOSE(OFFSET(Raw_Returns!$B$2,8,0,1,11)))</f>
        <v>-1.0863963518211809E-2</v>
      </c>
      <c r="O134" s="9">
        <f ca="1">(K134-L134)*(M134-N134)</f>
        <v>-7.780199033041824E-5</v>
      </c>
      <c r="P134" s="9">
        <f ca="1">L134*$K$7</f>
        <v>-2.2640094671079075E-5</v>
      </c>
      <c r="Q134" s="9">
        <f ca="1">(K134-L134)*$K$7</f>
        <v>2.2954638462579226E-6</v>
      </c>
      <c r="R134" s="9">
        <f ca="1">O134+P134+Q134</f>
        <v>-9.8146621155239391E-5</v>
      </c>
    </row>
    <row r="135" spans="10:18" x14ac:dyDescent="0.35">
      <c r="J135" t="str">
        <f>J8</f>
        <v>Communication Services</v>
      </c>
      <c r="K135" s="9">
        <f ca="1">OFFSET(Raw_Weights!$C$2,93,0)</f>
        <v>8.2177459534084757E-2</v>
      </c>
      <c r="L135" s="9">
        <f ca="1">OFFSET(Raw_Weights!$D$2,93,0)</f>
        <v>7.4991680276057154E-2</v>
      </c>
      <c r="M135" s="9">
        <f ca="1">OFFSET(Raw_Returns!$B$2,8,5)</f>
        <v>-1.5172413194148325E-2</v>
      </c>
      <c r="N135" s="9" cm="1">
        <f t="array" aca="1" ref="N135" ca="1">SUMPRODUCT(OFFSET(Raw_Weights!$D$2,88,0,11,1),TRANSPOSE(OFFSET(Raw_Returns!$B$2,8,0,1,11)))</f>
        <v>-1.0863963518211809E-2</v>
      </c>
      <c r="O135" s="9">
        <f ca="1">(K135-L135)*(M135-N135)</f>
        <v>-3.0959568315600363E-5</v>
      </c>
      <c r="P135" s="9">
        <f ca="1">L135*$K$8</f>
        <v>5.9993344220845729E-5</v>
      </c>
      <c r="Q135" s="9">
        <f ca="1">(K135-L135)*$K$8</f>
        <v>5.7486234064220823E-6</v>
      </c>
      <c r="R135" s="9">
        <f ca="1">O135+P135+Q135</f>
        <v>3.4782399311667452E-5</v>
      </c>
    </row>
    <row r="136" spans="10:18" x14ac:dyDescent="0.35">
      <c r="J136" t="str">
        <f>J9</f>
        <v>Consumer Staples</v>
      </c>
      <c r="K136" s="9">
        <f ca="1">OFFSET(Raw_Weights!$C$2,94,0)</f>
        <v>3.7908187709874197E-2</v>
      </c>
      <c r="L136" s="9">
        <f ca="1">OFFSET(Raw_Weights!$D$2,94,0)</f>
        <v>6.5425186812108627E-2</v>
      </c>
      <c r="M136" s="9">
        <f ca="1">OFFSET(Raw_Returns!$B$2,8,6)</f>
        <v>-2.1047395911855803E-2</v>
      </c>
      <c r="N136" s="9" cm="1">
        <f t="array" aca="1" ref="N136" ca="1">SUMPRODUCT(OFFSET(Raw_Weights!$D$2,88,0,11,1),TRANSPOSE(OFFSET(Raw_Returns!$B$2,8,0,1,11)))</f>
        <v>-1.0863963518211809E-2</v>
      </c>
      <c r="O136" s="9">
        <f ca="1">(K136-L136)*(M136-N136)</f>
        <v>2.8021750003356678E-4</v>
      </c>
      <c r="P136" s="9">
        <f ca="1">L136*$K$9</f>
        <v>6.5425186812108634E-5</v>
      </c>
      <c r="Q136" s="9">
        <f ca="1">(K136-L136)*$K$9</f>
        <v>-2.7516999102234429E-5</v>
      </c>
      <c r="R136" s="9">
        <f ca="1">O136+P136+Q136</f>
        <v>3.1812568774344097E-4</v>
      </c>
    </row>
    <row r="137" spans="10:18" x14ac:dyDescent="0.35">
      <c r="J137" t="str">
        <f>J10</f>
        <v>Energy</v>
      </c>
      <c r="K137" s="9">
        <f ca="1">OFFSET(Raw_Weights!$C$2,95,0)</f>
        <v>2.9511862626187164E-2</v>
      </c>
      <c r="L137" s="9">
        <f ca="1">OFFSET(Raw_Weights!$D$2,95,0)</f>
        <v>4.9910815745793022E-2</v>
      </c>
      <c r="M137" s="9">
        <f ca="1">OFFSET(Raw_Returns!$B$2,8,7)</f>
        <v>-1.2926792126978462E-2</v>
      </c>
      <c r="N137" s="9" cm="1">
        <f t="array" aca="1" ref="N137" ca="1">SUMPRODUCT(OFFSET(Raw_Weights!$D$2,88,0,11,1),TRANSPOSE(OFFSET(Raw_Returns!$B$2,8,0,1,11)))</f>
        <v>-1.0863963518211809E-2</v>
      </c>
      <c r="O137" s="9">
        <f ca="1">(K137-L137)*(M137-N137)</f>
        <v>4.2079544084012722E-5</v>
      </c>
      <c r="P137" s="9">
        <f ca="1">L137*$K$10</f>
        <v>2.4955407872896513E-5</v>
      </c>
      <c r="Q137" s="9">
        <f ca="1">(K137-L137)*$K$10</f>
        <v>-1.0199476559802928E-5</v>
      </c>
      <c r="R137" s="9">
        <f ca="1">O137+P137+Q137</f>
        <v>5.6835475397106311E-5</v>
      </c>
    </row>
    <row r="138" spans="10:18" x14ac:dyDescent="0.35">
      <c r="J138" t="str">
        <f>J11</f>
        <v>Materials</v>
      </c>
      <c r="K138" s="9">
        <f ca="1">OFFSET(Raw_Weights!$C$2,96,0)</f>
        <v>3.3981763837204228E-2</v>
      </c>
      <c r="L138" s="9">
        <f ca="1">OFFSET(Raw_Weights!$D$2,96,0)</f>
        <v>3.5897843539555649E-2</v>
      </c>
      <c r="M138" s="9">
        <f ca="1">OFFSET(Raw_Returns!$B$2,8,8)</f>
        <v>-1.1473210831502953E-2</v>
      </c>
      <c r="N138" s="9" cm="1">
        <f t="array" aca="1" ref="N138" ca="1">SUMPRODUCT(OFFSET(Raw_Weights!$D$2,88,0,11,1),TRANSPOSE(OFFSET(Raw_Returns!$B$2,8,0,1,11)))</f>
        <v>-1.0863963518211809E-2</v>
      </c>
      <c r="O138" s="9">
        <f ca="1">(K138-L138)*(M138-N138)</f>
        <v>1.1673664107092969E-6</v>
      </c>
      <c r="P138" s="9">
        <f ca="1">L138*$K$11</f>
        <v>-1.0769353061866694E-5</v>
      </c>
      <c r="Q138" s="9">
        <f ca="1">(K138-L138)*$K$11</f>
        <v>5.748239107054263E-7</v>
      </c>
      <c r="R138" s="9">
        <f ca="1">O138+P138+Q138</f>
        <v>-9.0271627404519705E-6</v>
      </c>
    </row>
    <row r="139" spans="10:18" x14ac:dyDescent="0.35">
      <c r="J139" t="str">
        <f>J12</f>
        <v>Utilities</v>
      </c>
      <c r="K139" s="9">
        <f ca="1">OFFSET(Raw_Weights!$C$2,97,0)</f>
        <v>1.8279735938150302E-2</v>
      </c>
      <c r="L139" s="9">
        <f ca="1">OFFSET(Raw_Weights!$D$2,97,0)</f>
        <v>2.7083767581644116E-2</v>
      </c>
      <c r="M139" s="9">
        <f ca="1">OFFSET(Raw_Returns!$B$2,8,9)</f>
        <v>-3.9354091888161233E-3</v>
      </c>
      <c r="N139" s="9" cm="1">
        <f t="array" aca="1" ref="N139" ca="1">SUMPRODUCT(OFFSET(Raw_Weights!$D$2,88,0,11,1),TRANSPOSE(OFFSET(Raw_Returns!$B$2,8,0,1,11)))</f>
        <v>-1.0863963518211809E-2</v>
      </c>
      <c r="O139" s="9">
        <f ca="1">(K139-L139)*(M139-N139)</f>
        <v>-6.0999211559665684E-5</v>
      </c>
      <c r="P139" s="9">
        <f ca="1">L139*$K$12</f>
        <v>5.4167535163288232E-6</v>
      </c>
      <c r="Q139" s="9">
        <f ca="1">(K139-L139)*$K$12</f>
        <v>-1.7608063286987628E-6</v>
      </c>
      <c r="R139" s="9">
        <f ca="1">O139+P139+Q139</f>
        <v>-5.7343264372035619E-5</v>
      </c>
    </row>
    <row r="140" spans="10:18" x14ac:dyDescent="0.35">
      <c r="J140" t="str">
        <f>J13</f>
        <v>Real Estate</v>
      </c>
      <c r="K140" s="9">
        <f ca="1">OFFSET(Raw_Weights!$C$2,98,0)</f>
        <v>1.5706066972288574E-2</v>
      </c>
      <c r="L140" s="9">
        <f ca="1">OFFSET(Raw_Weights!$D$2,98,0)</f>
        <v>1.5900117147093155E-2</v>
      </c>
      <c r="M140" s="9">
        <f ca="1">OFFSET(Raw_Returns!$B$2,8,10)</f>
        <v>-3.5350328859659764E-3</v>
      </c>
      <c r="N140" s="9" cm="1">
        <f t="array" aca="1" ref="N140" ca="1">SUMPRODUCT(OFFSET(Raw_Weights!$D$2,88,0,11,1),TRANSPOSE(OFFSET(Raw_Returns!$B$2,8,0,1,11)))</f>
        <v>-1.0863963518211809E-2</v>
      </c>
      <c r="O140" s="9">
        <f ca="1">(K140-L140)*(M140-N140)</f>
        <v>-1.4221802703179574E-6</v>
      </c>
      <c r="P140" s="9">
        <f ca="1">L140*$K$13</f>
        <v>1.5900117147093157E-6</v>
      </c>
      <c r="Q140" s="9">
        <f ca="1">(K140-L140)*$K$13</f>
        <v>-1.940501748045817E-8</v>
      </c>
      <c r="R140" s="9">
        <f ca="1">O140+P140+Q140</f>
        <v>1.484264269109001E-7</v>
      </c>
    </row>
    <row r="142" spans="10:18" x14ac:dyDescent="0.35">
      <c r="J142" s="39">
        <v>46113</v>
      </c>
    </row>
    <row r="143" spans="10:18" x14ac:dyDescent="0.35">
      <c r="J143" s="40" t="s">
        <v>53</v>
      </c>
      <c r="K143" s="40" t="s">
        <v>55</v>
      </c>
      <c r="L143" s="40" t="s">
        <v>56</v>
      </c>
      <c r="M143" s="40" t="s">
        <v>57</v>
      </c>
      <c r="N143" s="40" t="s">
        <v>58</v>
      </c>
      <c r="O143" s="40" t="s">
        <v>59</v>
      </c>
      <c r="P143" s="40" t="s">
        <v>60</v>
      </c>
      <c r="Q143" s="40" t="s">
        <v>61</v>
      </c>
      <c r="R143" s="40" t="s">
        <v>62</v>
      </c>
    </row>
    <row r="144" spans="10:18" x14ac:dyDescent="0.35">
      <c r="J144" t="str">
        <f>J3</f>
        <v>Information Technology</v>
      </c>
      <c r="K144" s="9">
        <f ca="1">OFFSET(Raw_Weights!$C$2,99,0)</f>
        <v>0.27911920878580282</v>
      </c>
      <c r="L144" s="9">
        <f ca="1">OFFSET(Raw_Weights!$D$2,99,0)</f>
        <v>0.23685042294811148</v>
      </c>
      <c r="M144" s="9">
        <f ca="1">OFFSET(Raw_Returns!$B$2,9,0)</f>
        <v>2.9642235995223656E-2</v>
      </c>
      <c r="N144" s="9" cm="1">
        <f t="array" aca="1" ref="N144" ca="1">SUMPRODUCT(OFFSET(Raw_Weights!$D$2,99,0,11,1),TRANSPOSE(OFFSET(Raw_Returns!$B$2,9,0,1,11)))</f>
        <v>2.1980639919909204E-2</v>
      </c>
      <c r="O144" s="9">
        <f ca="1">(K144-L144)*(M144-N144)</f>
        <v>3.2384636368236306E-4</v>
      </c>
      <c r="P144" s="9">
        <f ca="1">L144*$K$3</f>
        <v>2.3685042294811149E-4</v>
      </c>
      <c r="Q144" s="9">
        <f ca="1">(K144-L144)*$K$3</f>
        <v>4.2268785837691336E-5</v>
      </c>
      <c r="R144" s="9">
        <f ca="1">O144+P144+Q144</f>
        <v>6.0296557246816587E-4</v>
      </c>
    </row>
    <row r="145" spans="10:18" x14ac:dyDescent="0.35">
      <c r="J145" t="str">
        <f>J4</f>
        <v>Health Care</v>
      </c>
      <c r="K145" s="9">
        <f ca="1">OFFSET(Raw_Weights!$C$2,100,0)</f>
        <v>0.14603100831376886</v>
      </c>
      <c r="L145" s="9">
        <f ca="1">OFFSET(Raw_Weights!$D$2,100,0)</f>
        <v>0.12296960657275763</v>
      </c>
      <c r="M145" s="9">
        <f ca="1">OFFSET(Raw_Returns!$B$2,9,1)</f>
        <v>4.0928229028047922E-3</v>
      </c>
      <c r="N145" s="9" cm="1">
        <f t="array" aca="1" ref="N145" ca="1">SUMPRODUCT(OFFSET(Raw_Weights!$D$2,99,0,11,1),TRANSPOSE(OFFSET(Raw_Returns!$B$2,9,0,1,11)))</f>
        <v>2.1980639919909204E-2</v>
      </c>
      <c r="O145" s="9">
        <f ca="1">(K145-L145)*(M145-N145)</f>
        <v>-4.1251813450114206E-4</v>
      </c>
      <c r="P145" s="9">
        <f ca="1">L145*$K$4</f>
        <v>6.1484803286378817E-5</v>
      </c>
      <c r="Q145" s="9">
        <f ca="1">(K145-L145)*$K$4</f>
        <v>1.1530700870505617E-5</v>
      </c>
      <c r="R145" s="9">
        <f ca="1">O145+P145+Q145</f>
        <v>-3.3950263034425763E-4</v>
      </c>
    </row>
    <row r="146" spans="10:18" x14ac:dyDescent="0.35">
      <c r="J146" t="str">
        <f>J5</f>
        <v>Financials</v>
      </c>
      <c r="K146" s="9">
        <f ca="1">OFFSET(Raw_Weights!$C$2,101,0)</f>
        <v>0.12606668770636262</v>
      </c>
      <c r="L146" s="9">
        <f ca="1">OFFSET(Raw_Weights!$D$2,101,0)</f>
        <v>0.14815088739894561</v>
      </c>
      <c r="M146" s="9">
        <f ca="1">OFFSET(Raw_Returns!$B$2,9,2)</f>
        <v>1.8275757749888277E-2</v>
      </c>
      <c r="N146" s="9" cm="1">
        <f t="array" aca="1" ref="N146" ca="1">SUMPRODUCT(OFFSET(Raw_Weights!$D$2,99,0,11,1),TRANSPOSE(OFFSET(Raw_Returns!$B$2,9,0,1,11)))</f>
        <v>2.1980639919909204E-2</v>
      </c>
      <c r="O146" s="9">
        <f ca="1">(K146-L146)*(M146-N146)</f>
        <v>8.1819357680232367E-5</v>
      </c>
      <c r="P146" s="9">
        <f ca="1">L146*$K$5</f>
        <v>1.4815088739894561E-4</v>
      </c>
      <c r="Q146" s="9">
        <f ca="1">(K146-L146)*$K$5</f>
        <v>-2.2084199692582989E-5</v>
      </c>
      <c r="R146" s="9">
        <f ca="1">O146+P146+Q146</f>
        <v>2.0788604538659499E-4</v>
      </c>
    </row>
    <row r="147" spans="10:18" x14ac:dyDescent="0.35">
      <c r="J147" t="str">
        <f>J6</f>
        <v>Consumer Discretionary</v>
      </c>
      <c r="K147" s="9">
        <f ca="1">OFFSET(Raw_Weights!$C$2,102,0)</f>
        <v>0.11963398697752947</v>
      </c>
      <c r="L147" s="9">
        <f ca="1">OFFSET(Raw_Weights!$D$2,102,0)</f>
        <v>0.10167633534065477</v>
      </c>
      <c r="M147" s="9">
        <f ca="1">OFFSET(Raw_Returns!$B$2,9,3)</f>
        <v>2.9458634575102016E-2</v>
      </c>
      <c r="N147" s="9" cm="1">
        <f t="array" aca="1" ref="N147" ca="1">SUMPRODUCT(OFFSET(Raw_Weights!$D$2,99,0,11,1),TRANSPOSE(OFFSET(Raw_Returns!$B$2,9,0,1,11)))</f>
        <v>2.1980639919909204E-2</v>
      </c>
      <c r="O147" s="9">
        <f ca="1">(K147-L147)*(M147-N147)</f>
        <v>1.3428722296036341E-4</v>
      </c>
      <c r="P147" s="9">
        <f ca="1">L147*$K$6</f>
        <v>3.050290060219643E-5</v>
      </c>
      <c r="Q147" s="9">
        <f ca="1">(K147-L147)*$K$6</f>
        <v>5.3872954910624085E-6</v>
      </c>
      <c r="R147" s="9">
        <f ca="1">O147+P147+Q147</f>
        <v>1.7017741905362224E-4</v>
      </c>
    </row>
    <row r="148" spans="10:18" x14ac:dyDescent="0.35">
      <c r="J148" t="str">
        <f>J7</f>
        <v>Industrials</v>
      </c>
      <c r="K148" s="9">
        <f ca="1">OFFSET(Raw_Weights!$C$2,103,0)</f>
        <v>0.1046660746972097</v>
      </c>
      <c r="L148" s="9">
        <f ca="1">OFFSET(Raw_Weights!$D$2,103,0)</f>
        <v>0.1118499657590952</v>
      </c>
      <c r="M148" s="9">
        <f ca="1">OFFSET(Raw_Returns!$B$2,9,4)</f>
        <v>1.8285126738508035E-2</v>
      </c>
      <c r="N148" s="9" cm="1">
        <f t="array" aca="1" ref="N148" ca="1">SUMPRODUCT(OFFSET(Raw_Weights!$D$2,99,0,11,1),TRANSPOSE(OFFSET(Raw_Returns!$B$2,9,0,1,11)))</f>
        <v>2.1980639919909204E-2</v>
      </c>
      <c r="O148" s="9">
        <f ca="1">(K148-L148)*(M148-N148)</f>
        <v>2.6548164112947889E-5</v>
      </c>
      <c r="P148" s="9">
        <f ca="1">L148*$K$7</f>
        <v>-2.236999315181904E-5</v>
      </c>
      <c r="Q148" s="9">
        <f ca="1">(K148-L148)*$K$7</f>
        <v>1.436778212377099E-6</v>
      </c>
      <c r="R148" s="9">
        <f ca="1">O148+P148+Q148</f>
        <v>5.6149491735059478E-6</v>
      </c>
    </row>
    <row r="149" spans="10:18" x14ac:dyDescent="0.35">
      <c r="J149" t="str">
        <f>J8</f>
        <v>Communication Services</v>
      </c>
      <c r="K149" s="9">
        <f ca="1">OFFSET(Raw_Weights!$C$2,104,0)</f>
        <v>8.4714440074045508E-2</v>
      </c>
      <c r="L149" s="9">
        <f ca="1">OFFSET(Raw_Weights!$D$2,104,0)</f>
        <v>7.9498275928919712E-2</v>
      </c>
      <c r="M149" s="9">
        <f ca="1">OFFSET(Raw_Returns!$B$2,9,5)</f>
        <v>3.6844653173673518E-2</v>
      </c>
      <c r="N149" s="9" cm="1">
        <f t="array" aca="1" ref="N149" ca="1">SUMPRODUCT(OFFSET(Raw_Weights!$D$2,99,0,11,1),TRANSPOSE(OFFSET(Raw_Returns!$B$2,9,0,1,11)))</f>
        <v>2.1980639919909204E-2</v>
      </c>
      <c r="O149" s="9">
        <f ca="1">(K149-L149)*(M149-N149)</f>
        <v>7.7533132986960031E-5</v>
      </c>
      <c r="P149" s="9">
        <f ca="1">L149*$K$8</f>
        <v>6.3598620743135777E-5</v>
      </c>
      <c r="Q149" s="9">
        <f ca="1">(K149-L149)*$K$8</f>
        <v>4.1729313161006368E-6</v>
      </c>
      <c r="R149" s="9">
        <f ca="1">O149+P149+Q149</f>
        <v>1.4530468504619646E-4</v>
      </c>
    </row>
    <row r="150" spans="10:18" x14ac:dyDescent="0.35">
      <c r="J150" t="str">
        <f>J9</f>
        <v>Consumer Staples</v>
      </c>
      <c r="K150" s="9">
        <f ca="1">OFFSET(Raw_Weights!$C$2,105,0)</f>
        <v>3.7077432846179842E-2</v>
      </c>
      <c r="L150" s="9">
        <f ca="1">OFFSET(Raw_Weights!$D$2,105,0)</f>
        <v>6.5076805521987191E-2</v>
      </c>
      <c r="M150" s="9">
        <f ca="1">OFFSET(Raw_Returns!$B$2,9,6)</f>
        <v>1.2753318201279718E-2</v>
      </c>
      <c r="N150" s="9" cm="1">
        <f t="array" aca="1" ref="N150" ca="1">SUMPRODUCT(OFFSET(Raw_Weights!$D$2,99,0,11,1),TRANSPOSE(OFFSET(Raw_Returns!$B$2,9,0,1,11)))</f>
        <v>2.1980639919909204E-2</v>
      </c>
      <c r="O150" s="9">
        <f ca="1">(K150-L150)*(M150-N150)</f>
        <v>2.5835921959947814E-4</v>
      </c>
      <c r="P150" s="9">
        <f ca="1">L150*$K$9</f>
        <v>6.5076805521987192E-5</v>
      </c>
      <c r="Q150" s="9">
        <f ca="1">(K150-L150)*$K$9</f>
        <v>-2.7999372675807349E-5</v>
      </c>
      <c r="R150" s="9">
        <f ca="1">O150+P150+Q150</f>
        <v>2.9543665244565799E-4</v>
      </c>
    </row>
    <row r="151" spans="10:18" x14ac:dyDescent="0.35">
      <c r="J151" t="str">
        <f>J10</f>
        <v>Energy</v>
      </c>
      <c r="K151" s="9">
        <f ca="1">OFFSET(Raw_Weights!$C$2,106,0)</f>
        <v>2.9200983818726559E-2</v>
      </c>
      <c r="L151" s="9">
        <f ca="1">OFFSET(Raw_Weights!$D$2,106,0)</f>
        <v>4.5026361892781593E-2</v>
      </c>
      <c r="M151" s="9">
        <f ca="1">OFFSET(Raw_Returns!$B$2,9,7)</f>
        <v>3.48131787053855E-2</v>
      </c>
      <c r="N151" s="9" cm="1">
        <f t="array" aca="1" ref="N151" ca="1">SUMPRODUCT(OFFSET(Raw_Weights!$D$2,99,0,11,1),TRANSPOSE(OFFSET(Raw_Returns!$B$2,9,0,1,11)))</f>
        <v>2.1980639919909204E-2</v>
      </c>
      <c r="O151" s="9">
        <f ca="1">(K151-L151)*(M151-N151)</f>
        <v>-2.0307977793013738E-4</v>
      </c>
      <c r="P151" s="9">
        <f ca="1">L151*$K$10</f>
        <v>2.2513180946390798E-5</v>
      </c>
      <c r="Q151" s="9">
        <f ca="1">(K151-L151)*$K$10</f>
        <v>-7.912689037027518E-6</v>
      </c>
      <c r="R151" s="9">
        <f ca="1">O151+P151+Q151</f>
        <v>-1.8847928602077409E-4</v>
      </c>
    </row>
    <row r="152" spans="10:18" x14ac:dyDescent="0.35">
      <c r="J152" t="str">
        <f>J11</f>
        <v>Materials</v>
      </c>
      <c r="K152" s="9">
        <f ca="1">OFFSET(Raw_Weights!$C$2,107,0)</f>
        <v>3.2593045119731295E-2</v>
      </c>
      <c r="L152" s="9">
        <f ca="1">OFFSET(Raw_Weights!$D$2,107,0)</f>
        <v>4.1723797351560156E-2</v>
      </c>
      <c r="M152" s="9">
        <f ca="1">OFFSET(Raw_Returns!$B$2,9,8)</f>
        <v>6.3288409910479473E-3</v>
      </c>
      <c r="N152" s="9" cm="1">
        <f t="array" aca="1" ref="N152" ca="1">SUMPRODUCT(OFFSET(Raw_Weights!$D$2,99,0,11,1),TRANSPOSE(OFFSET(Raw_Returns!$B$2,9,0,1,11)))</f>
        <v>2.1980639919909204E-2</v>
      </c>
      <c r="O152" s="9">
        <f ca="1">(K152-L152)*(M152-N152)</f>
        <v>1.4291269800183648E-4</v>
      </c>
      <c r="P152" s="9">
        <f ca="1">L152*$K$11</f>
        <v>-1.2517139205468046E-5</v>
      </c>
      <c r="Q152" s="9">
        <f ca="1">(K152-L152)*$K$11</f>
        <v>2.7392256695486578E-6</v>
      </c>
      <c r="R152" s="9">
        <f ca="1">O152+P152+Q152</f>
        <v>1.3313478446591711E-4</v>
      </c>
    </row>
    <row r="153" spans="10:18" x14ac:dyDescent="0.35">
      <c r="J153" t="str">
        <f>J12</f>
        <v>Utilities</v>
      </c>
      <c r="K153" s="9">
        <f ca="1">OFFSET(Raw_Weights!$C$2,108,0)</f>
        <v>2.4654751671552216E-2</v>
      </c>
      <c r="L153" s="9">
        <f ca="1">OFFSET(Raw_Weights!$D$2,108,0)</f>
        <v>2.7669816515324259E-2</v>
      </c>
      <c r="M153" s="9">
        <f ca="1">OFFSET(Raw_Returns!$B$2,9,9)</f>
        <v>6.2668078765672399E-3</v>
      </c>
      <c r="N153" s="9" cm="1">
        <f t="array" aca="1" ref="N153" ca="1">SUMPRODUCT(OFFSET(Raw_Weights!$D$2,99,0,11,1),TRANSPOSE(OFFSET(Raw_Returns!$B$2,9,0,1,11)))</f>
        <v>2.1980639919909204E-2</v>
      </c>
      <c r="O153" s="9">
        <f ca="1">(K153-L153)*(M153-N153)</f>
        <v>4.7378222554818967E-5</v>
      </c>
      <c r="P153" s="9">
        <f ca="1">L153*$K$12</f>
        <v>5.5339633030648516E-6</v>
      </c>
      <c r="Q153" s="9">
        <f ca="1">(K153-L153)*$K$12</f>
        <v>-6.0301296875440864E-7</v>
      </c>
      <c r="R153" s="9">
        <f ca="1">O153+P153+Q153</f>
        <v>5.2309172889129415E-5</v>
      </c>
    </row>
    <row r="154" spans="10:18" x14ac:dyDescent="0.35">
      <c r="J154" t="str">
        <f>J13</f>
        <v>Real Estate</v>
      </c>
      <c r="K154" s="9">
        <f ca="1">OFFSET(Raw_Weights!$C$2,109,0)</f>
        <v>1.624237998909115E-2</v>
      </c>
      <c r="L154" s="9">
        <f ca="1">OFFSET(Raw_Weights!$D$2,109,0)</f>
        <v>1.9507724769862428E-2</v>
      </c>
      <c r="M154" s="9">
        <f ca="1">OFFSET(Raw_Returns!$B$2,9,10)</f>
        <v>4.8419656393227505E-2</v>
      </c>
      <c r="N154" s="9" cm="1">
        <f t="array" aca="1" ref="N154" ca="1">SUMPRODUCT(OFFSET(Raw_Weights!$D$2,99,0,11,1),TRANSPOSE(OFFSET(Raw_Returns!$B$2,9,0,1,11)))</f>
        <v>2.1980639919909204E-2</v>
      </c>
      <c r="O154" s="9">
        <f ca="1">(K154-L154)*(M154-N154)</f>
        <v>-8.6332504449875737E-5</v>
      </c>
      <c r="P154" s="9">
        <f ca="1">L154*$K$13</f>
        <v>1.9507724769862429E-6</v>
      </c>
      <c r="Q154" s="9">
        <f ca="1">(K154-L154)*$K$13</f>
        <v>-3.2653447807712774E-7</v>
      </c>
      <c r="R154" s="9">
        <f ca="1">O154+P154+Q154</f>
        <v>-8.4708266450966613E-5</v>
      </c>
    </row>
    <row r="156" spans="10:18" x14ac:dyDescent="0.35">
      <c r="J156" s="39">
        <v>46143</v>
      </c>
    </row>
    <row r="157" spans="10:18" x14ac:dyDescent="0.35">
      <c r="J157" s="40" t="s">
        <v>53</v>
      </c>
      <c r="K157" s="40" t="s">
        <v>55</v>
      </c>
      <c r="L157" s="40" t="s">
        <v>56</v>
      </c>
      <c r="M157" s="40" t="s">
        <v>57</v>
      </c>
      <c r="N157" s="40" t="s">
        <v>58</v>
      </c>
      <c r="O157" s="40" t="s">
        <v>59</v>
      </c>
      <c r="P157" s="40" t="s">
        <v>60</v>
      </c>
      <c r="Q157" s="40" t="s">
        <v>61</v>
      </c>
      <c r="R157" s="40" t="s">
        <v>62</v>
      </c>
    </row>
    <row r="158" spans="10:18" x14ac:dyDescent="0.35">
      <c r="J158" t="str">
        <f>J3</f>
        <v>Information Technology</v>
      </c>
      <c r="K158" s="9">
        <f ca="1">OFFSET(Raw_Weights!$C$2,110,0)</f>
        <v>0.28053969059956529</v>
      </c>
      <c r="L158" s="9">
        <f ca="1">OFFSET(Raw_Weights!$D$2,110,0)</f>
        <v>0.23379799702157303</v>
      </c>
      <c r="M158" s="9">
        <f ca="1">OFFSET(Raw_Returns!$B$2,10,0)</f>
        <v>-1.0766649775614786E-2</v>
      </c>
      <c r="N158" s="9" cm="1">
        <f t="array" aca="1" ref="N158" ca="1">SUMPRODUCT(OFFSET(Raw_Weights!$D$2,110,0,11,1),TRANSPOSE(OFFSET(Raw_Returns!$B$2,10,0,1,11)))</f>
        <v>-4.396560786463553E-3</v>
      </c>
      <c r="O158" s="9">
        <f ca="1">(K158-L158)*(M158-N158)</f>
        <v>-2.9774874759544944E-4</v>
      </c>
      <c r="P158" s="9">
        <f ca="1">L158*$K$3</f>
        <v>2.3379799702157305E-4</v>
      </c>
      <c r="Q158" s="9">
        <f ca="1">(K158-L158)*$K$3</f>
        <v>4.6741693577992265E-5</v>
      </c>
      <c r="R158" s="9">
        <f ca="1">O158+P158+Q158</f>
        <v>-1.7209056995884125E-5</v>
      </c>
    </row>
    <row r="159" spans="10:18" x14ac:dyDescent="0.35">
      <c r="J159" t="str">
        <f>J4</f>
        <v>Health Care</v>
      </c>
      <c r="K159" s="9">
        <f ca="1">OFFSET(Raw_Weights!$C$2,111,0)</f>
        <v>0.14594471845721646</v>
      </c>
      <c r="L159" s="9">
        <f ca="1">OFFSET(Raw_Weights!$D$2,111,0)</f>
        <v>0.1236595616058361</v>
      </c>
      <c r="M159" s="9">
        <f ca="1">OFFSET(Raw_Returns!$B$2,10,1)</f>
        <v>7.4946966864400649E-3</v>
      </c>
      <c r="N159" s="9" cm="1">
        <f t="array" aca="1" ref="N159" ca="1">SUMPRODUCT(OFFSET(Raw_Weights!$D$2,110,0,11,1),TRANSPOSE(OFFSET(Raw_Returns!$B$2,10,0,1,11)))</f>
        <v>-4.396560786463553E-3</v>
      </c>
      <c r="O159" s="9">
        <f ca="1">(K159-L159)*(M159-N159)</f>
        <v>2.6499853794380589E-4</v>
      </c>
      <c r="P159" s="9">
        <f ca="1">L159*$K$4</f>
        <v>6.1829780802918056E-5</v>
      </c>
      <c r="Q159" s="9">
        <f ca="1">(K159-L159)*$K$4</f>
        <v>1.1142578425690178E-5</v>
      </c>
      <c r="R159" s="9">
        <f ca="1">O159+P159+Q159</f>
        <v>3.379708971724141E-4</v>
      </c>
    </row>
    <row r="160" spans="10:18" x14ac:dyDescent="0.35">
      <c r="J160" t="str">
        <f>J5</f>
        <v>Financials</v>
      </c>
      <c r="K160" s="9">
        <f ca="1">OFFSET(Raw_Weights!$C$2,112,0)</f>
        <v>0.1284793773944326</v>
      </c>
      <c r="L160" s="9">
        <f ca="1">OFFSET(Raw_Weights!$D$2,112,0)</f>
        <v>0.15245444394401578</v>
      </c>
      <c r="M160" s="9">
        <f ca="1">OFFSET(Raw_Returns!$B$2,10,2)</f>
        <v>-2.0803153902944092E-2</v>
      </c>
      <c r="N160" s="9" cm="1">
        <f t="array" aca="1" ref="N160" ca="1">SUMPRODUCT(OFFSET(Raw_Weights!$D$2,110,0,11,1),TRANSPOSE(OFFSET(Raw_Returns!$B$2,10,0,1,11)))</f>
        <v>-4.396560786463553E-3</v>
      </c>
      <c r="O160" s="9">
        <f ca="1">(K160-L160)*(M160-N160)</f>
        <v>3.933491618195541E-4</v>
      </c>
      <c r="P160" s="9">
        <f ca="1">L160*$K$5</f>
        <v>1.5245444394401577E-4</v>
      </c>
      <c r="Q160" s="9">
        <f ca="1">(K160-L160)*$K$5</f>
        <v>-2.3975066549583173E-5</v>
      </c>
      <c r="R160" s="9">
        <f ca="1">O160+P160+Q160</f>
        <v>5.2182853921398662E-4</v>
      </c>
    </row>
    <row r="161" spans="10:18" x14ac:dyDescent="0.35">
      <c r="J161" t="str">
        <f>J6</f>
        <v>Consumer Discretionary</v>
      </c>
      <c r="K161" s="9">
        <f ca="1">OFFSET(Raw_Weights!$C$2,113,0)</f>
        <v>0.12225371360561103</v>
      </c>
      <c r="L161" s="9">
        <f ca="1">OFFSET(Raw_Weights!$D$2,113,0)</f>
        <v>0.10307136770138021</v>
      </c>
      <c r="M161" s="9">
        <f ca="1">OFFSET(Raw_Returns!$B$2,10,3)</f>
        <v>-6.0187806269269093E-3</v>
      </c>
      <c r="N161" s="9" cm="1">
        <f t="array" aca="1" ref="N161" ca="1">SUMPRODUCT(OFFSET(Raw_Weights!$D$2,110,0,11,1),TRANSPOSE(OFFSET(Raw_Returns!$B$2,10,0,1,11)))</f>
        <v>-4.396560786463553E-3</v>
      </c>
      <c r="O161" s="9">
        <f ca="1">(K161-L161)*(M161-N161)</f>
        <v>-3.1117982112474232E-5</v>
      </c>
      <c r="P161" s="9">
        <f ca="1">L161*$K$6</f>
        <v>3.0921410310414061E-5</v>
      </c>
      <c r="Q161" s="9">
        <f ca="1">(K161-L161)*$K$6</f>
        <v>5.754703771269245E-6</v>
      </c>
      <c r="R161" s="9">
        <f ca="1">O161+P161+Q161</f>
        <v>5.5581319692090736E-6</v>
      </c>
    </row>
    <row r="162" spans="10:18" x14ac:dyDescent="0.35">
      <c r="J162" t="str">
        <f>J7</f>
        <v>Industrials</v>
      </c>
      <c r="K162" s="9">
        <f ca="1">OFFSET(Raw_Weights!$C$2,114,0)</f>
        <v>0.10352112165016367</v>
      </c>
      <c r="L162" s="9">
        <f ca="1">OFFSET(Raw_Weights!$D$2,114,0)</f>
        <v>0.11496778882279537</v>
      </c>
      <c r="M162" s="9">
        <f ca="1">OFFSET(Raw_Returns!$B$2,10,4)</f>
        <v>-3.8356309879551357E-3</v>
      </c>
      <c r="N162" s="9" cm="1">
        <f t="array" aca="1" ref="N162" ca="1">SUMPRODUCT(OFFSET(Raw_Weights!$D$2,110,0,11,1),TRANSPOSE(OFFSET(Raw_Returns!$B$2,10,0,1,11)))</f>
        <v>-4.396560786463553E-3</v>
      </c>
      <c r="O162" s="9">
        <f ca="1">(K162-L162)*(M162-N162)</f>
        <v>-6.4207767107372194E-6</v>
      </c>
      <c r="P162" s="9">
        <f ca="1">L162*$K$7</f>
        <v>-2.2993557764559076E-5</v>
      </c>
      <c r="Q162" s="9">
        <f ca="1">(K162-L162)*$K$7</f>
        <v>2.2893334345263418E-6</v>
      </c>
      <c r="R162" s="9">
        <f ca="1">O162+P162+Q162</f>
        <v>-2.7125001040769954E-5</v>
      </c>
    </row>
    <row r="163" spans="10:18" x14ac:dyDescent="0.35">
      <c r="J163" t="str">
        <f>J8</f>
        <v>Communication Services</v>
      </c>
      <c r="K163" s="9">
        <f ca="1">OFFSET(Raw_Weights!$C$2,115,0)</f>
        <v>8.3215079061447761E-2</v>
      </c>
      <c r="L163" s="9">
        <f ca="1">OFFSET(Raw_Weights!$D$2,115,0)</f>
        <v>8.4092421734118031E-2</v>
      </c>
      <c r="M163" s="9">
        <f ca="1">OFFSET(Raw_Returns!$B$2,10,5)</f>
        <v>1.9021173182331833E-2</v>
      </c>
      <c r="N163" s="9" cm="1">
        <f t="array" aca="1" ref="N163" ca="1">SUMPRODUCT(OFFSET(Raw_Weights!$D$2,110,0,11,1),TRANSPOSE(OFFSET(Raw_Returns!$B$2,10,0,1,11)))</f>
        <v>-4.396560786463553E-3</v>
      </c>
      <c r="O163" s="9">
        <f ca="1">(K163-L163)*(M163-N163)</f>
        <v>-2.0545377308064313E-5</v>
      </c>
      <c r="P163" s="9">
        <f ca="1">L163*$K$8</f>
        <v>6.7273937387294432E-5</v>
      </c>
      <c r="Q163" s="9">
        <f ca="1">(K163-L163)*$K$8</f>
        <v>-7.0187413813621592E-7</v>
      </c>
      <c r="R163" s="9">
        <f ca="1">O163+P163+Q163</f>
        <v>4.6026685941093906E-5</v>
      </c>
    </row>
    <row r="164" spans="10:18" x14ac:dyDescent="0.35">
      <c r="J164" t="str">
        <f>J9</f>
        <v>Consumer Staples</v>
      </c>
      <c r="K164" s="9">
        <f ca="1">OFFSET(Raw_Weights!$C$2,116,0)</f>
        <v>4.0803590931063685E-2</v>
      </c>
      <c r="L164" s="9">
        <f ca="1">OFFSET(Raw_Weights!$D$2,116,0)</f>
        <v>6.8008198496319061E-2</v>
      </c>
      <c r="M164" s="9">
        <f ca="1">OFFSET(Raw_Returns!$B$2,10,6)</f>
        <v>-1.4691023075767171E-2</v>
      </c>
      <c r="N164" s="9" cm="1">
        <f t="array" aca="1" ref="N164" ca="1">SUMPRODUCT(OFFSET(Raw_Weights!$D$2,110,0,11,1),TRANSPOSE(OFFSET(Raw_Returns!$B$2,10,0,1,11)))</f>
        <v>-4.396560786463553E-3</v>
      </c>
      <c r="O164" s="9">
        <f ca="1">(K164-L164)*(M164-N164)</f>
        <v>2.8005680667582541E-4</v>
      </c>
      <c r="P164" s="9">
        <f ca="1">L164*$K$9</f>
        <v>6.8008198496319062E-5</v>
      </c>
      <c r="Q164" s="9">
        <f ca="1">(K164-L164)*$K$9</f>
        <v>-2.7204607565255375E-5</v>
      </c>
      <c r="R164" s="9">
        <f ca="1">O164+P164+Q164</f>
        <v>3.2086039760688905E-4</v>
      </c>
    </row>
    <row r="165" spans="10:18" x14ac:dyDescent="0.35">
      <c r="J165" t="str">
        <f>J10</f>
        <v>Energy</v>
      </c>
      <c r="K165" s="9">
        <f ca="1">OFFSET(Raw_Weights!$C$2,117,0)</f>
        <v>2.7747536085340602E-2</v>
      </c>
      <c r="L165" s="9">
        <f ca="1">OFFSET(Raw_Weights!$D$2,117,0)</f>
        <v>5.4857320483392133E-2</v>
      </c>
      <c r="M165" s="9">
        <f ca="1">OFFSET(Raw_Returns!$B$2,10,7)</f>
        <v>2.824068108296196E-2</v>
      </c>
      <c r="N165" s="9" cm="1">
        <f t="array" aca="1" ref="N165" ca="1">SUMPRODUCT(OFFSET(Raw_Weights!$D$2,110,0,11,1),TRANSPOSE(OFFSET(Raw_Returns!$B$2,10,0,1,11)))</f>
        <v>-4.396560786463553E-3</v>
      </c>
      <c r="O165" s="9">
        <f ca="1">(K165-L165)*(M165-N165)</f>
        <v>-8.8478859042718605E-4</v>
      </c>
      <c r="P165" s="9">
        <f ca="1">L165*$K$10</f>
        <v>2.7428660241696069E-5</v>
      </c>
      <c r="Q165" s="9">
        <f ca="1">(K165-L165)*$K$10</f>
        <v>-1.3554892199025766E-5</v>
      </c>
      <c r="R165" s="9">
        <f ca="1">O165+P165+Q165</f>
        <v>-8.7091482238451571E-4</v>
      </c>
    </row>
    <row r="166" spans="10:18" x14ac:dyDescent="0.35">
      <c r="J166" t="str">
        <f>J11</f>
        <v>Materials</v>
      </c>
      <c r="K166" s="9">
        <f ca="1">OFFSET(Raw_Weights!$C$2,118,0)</f>
        <v>3.3409437643189814E-2</v>
      </c>
      <c r="L166" s="9">
        <f ca="1">OFFSET(Raw_Weights!$D$2,118,0)</f>
        <v>3.5102823168376616E-2</v>
      </c>
      <c r="M166" s="9">
        <f ca="1">OFFSET(Raw_Returns!$B$2,10,8)</f>
        <v>1.2319748577801923E-2</v>
      </c>
      <c r="N166" s="9" cm="1">
        <f t="array" aca="1" ref="N166" ca="1">SUMPRODUCT(OFFSET(Raw_Weights!$D$2,110,0,11,1),TRANSPOSE(OFFSET(Raw_Returns!$B$2,10,0,1,11)))</f>
        <v>-4.396560786463553E-3</v>
      </c>
      <c r="O166" s="9">
        <f ca="1">(K166-L166)*(M166-N166)</f>
        <v>-2.8307156311991757E-5</v>
      </c>
      <c r="P166" s="9">
        <f ca="1">L166*$K$11</f>
        <v>-1.0530846950512984E-5</v>
      </c>
      <c r="Q166" s="9">
        <f ca="1">(K166-L166)*$K$11</f>
        <v>5.080156575560407E-7</v>
      </c>
      <c r="R166" s="9">
        <f ca="1">O166+P166+Q166</f>
        <v>-3.83299876049487E-5</v>
      </c>
    </row>
    <row r="167" spans="10:18" x14ac:dyDescent="0.35">
      <c r="J167" t="str">
        <f>J12</f>
        <v>Utilities</v>
      </c>
      <c r="K167" s="9">
        <f ca="1">OFFSET(Raw_Weights!$C$2,119,0)</f>
        <v>1.8537934841232881E-2</v>
      </c>
      <c r="L167" s="9">
        <f ca="1">OFFSET(Raw_Weights!$D$2,119,0)</f>
        <v>1.4099924273628153E-2</v>
      </c>
      <c r="M167" s="9">
        <f ca="1">OFFSET(Raw_Returns!$B$2,10,9)</f>
        <v>-3.6808457863196822E-2</v>
      </c>
      <c r="N167" s="9" cm="1">
        <f t="array" aca="1" ref="N167" ca="1">SUMPRODUCT(OFFSET(Raw_Weights!$D$2,110,0,11,1),TRANSPOSE(OFFSET(Raw_Returns!$B$2,10,0,1,11)))</f>
        <v>-4.396560786463553E-3</v>
      </c>
      <c r="O167" s="9">
        <f ca="1">(K167-L167)*(M167-N167)</f>
        <v>-1.4384434174265903E-4</v>
      </c>
      <c r="P167" s="9">
        <f ca="1">L167*$K$12</f>
        <v>2.8199848547256307E-6</v>
      </c>
      <c r="Q167" s="9">
        <f ca="1">(K167-L167)*$K$12</f>
        <v>8.8760211352094561E-7</v>
      </c>
      <c r="R167" s="9">
        <f ca="1">O167+P167+Q167</f>
        <v>-1.4013675477441247E-4</v>
      </c>
    </row>
    <row r="168" spans="10:18" x14ac:dyDescent="0.35">
      <c r="J168" t="str">
        <f>J13</f>
        <v>Real Estate</v>
      </c>
      <c r="K168" s="9">
        <f ca="1">OFFSET(Raw_Weights!$C$2,120,0)</f>
        <v>1.5547799730736195E-2</v>
      </c>
      <c r="L168" s="9">
        <f ca="1">OFFSET(Raw_Weights!$D$2,120,0)</f>
        <v>1.5888152748565344E-2</v>
      </c>
      <c r="M168" s="9">
        <f ca="1">OFFSET(Raw_Returns!$B$2,10,10)</f>
        <v>-4.0052195475598421E-2</v>
      </c>
      <c r="N168" s="9" cm="1">
        <f t="array" aca="1" ref="N168" ca="1">SUMPRODUCT(OFFSET(Raw_Weights!$D$2,110,0,11,1),TRANSPOSE(OFFSET(Raw_Returns!$B$2,10,0,1,11)))</f>
        <v>-4.396560786463553E-3</v>
      </c>
      <c r="O168" s="9">
        <f ca="1">(K168-L168)*(M168-N168)</f>
        <v>1.2135502869060759E-5</v>
      </c>
      <c r="P168" s="9">
        <f ca="1">L168*$K$13</f>
        <v>1.5888152748565344E-6</v>
      </c>
      <c r="Q168" s="9">
        <f ca="1">(K168-L168)*$K$13</f>
        <v>-3.4035301782914949E-8</v>
      </c>
      <c r="R168" s="9">
        <f ca="1">O168+P168+Q168</f>
        <v>1.3690282842134379E-5</v>
      </c>
    </row>
    <row r="170" spans="10:18" x14ac:dyDescent="0.35">
      <c r="J170" s="39">
        <v>46174</v>
      </c>
    </row>
    <row r="171" spans="10:18" x14ac:dyDescent="0.35">
      <c r="J171" s="40" t="s">
        <v>53</v>
      </c>
      <c r="K171" s="40" t="s">
        <v>55</v>
      </c>
      <c r="L171" s="40" t="s">
        <v>56</v>
      </c>
      <c r="M171" s="40" t="s">
        <v>57</v>
      </c>
      <c r="N171" s="40" t="s">
        <v>58</v>
      </c>
      <c r="O171" s="40" t="s">
        <v>59</v>
      </c>
      <c r="P171" s="40" t="s">
        <v>60</v>
      </c>
      <c r="Q171" s="40" t="s">
        <v>61</v>
      </c>
      <c r="R171" s="40" t="s">
        <v>62</v>
      </c>
    </row>
    <row r="172" spans="10:18" x14ac:dyDescent="0.35">
      <c r="J172" t="str">
        <f>J3</f>
        <v>Information Technology</v>
      </c>
      <c r="K172" s="9">
        <f ca="1">OFFSET(Raw_Weights!$C$2,121,0)</f>
        <v>0.28084855368103284</v>
      </c>
      <c r="L172" s="9">
        <f ca="1">OFFSET(Raw_Weights!$D$2,121,0)</f>
        <v>0.24238243418031705</v>
      </c>
      <c r="M172" s="9">
        <f ca="1">OFFSET(Raw_Returns!$B$2,11,0)</f>
        <v>-4.0718532388500948E-2</v>
      </c>
      <c r="N172" s="9" cm="1">
        <f t="array" aca="1" ref="N172" ca="1">SUMPRODUCT(OFFSET(Raw_Weights!$D$2,121,0,11,1),TRANSPOSE(OFFSET(Raw_Returns!$B$2,11,0,1,11)))</f>
        <v>-1.388381173685338E-2</v>
      </c>
      <c r="O172" s="9">
        <f ca="1">(K172-L172)*(M172-N172)</f>
        <v>-1.0322275713546014E-3</v>
      </c>
      <c r="P172" s="9">
        <f ca="1">L172*$K$3</f>
        <v>2.4238243418031705E-4</v>
      </c>
      <c r="Q172" s="9">
        <f ca="1">(K172-L172)*$K$3</f>
        <v>3.8466119500715795E-5</v>
      </c>
      <c r="R172" s="9">
        <f ca="1">O172+P172+Q172</f>
        <v>-7.5137901767356849E-4</v>
      </c>
    </row>
    <row r="173" spans="10:18" x14ac:dyDescent="0.35">
      <c r="J173" t="str">
        <f>J4</f>
        <v>Health Care</v>
      </c>
      <c r="K173" s="9">
        <f ca="1">OFFSET(Raw_Weights!$C$2,122,0)</f>
        <v>0.14087169469590488</v>
      </c>
      <c r="L173" s="9">
        <f ca="1">OFFSET(Raw_Weights!$D$2,122,0)</f>
        <v>0.13286213762600524</v>
      </c>
      <c r="M173" s="9">
        <f ca="1">OFFSET(Raw_Returns!$B$2,11,1)</f>
        <v>-3.3451684620809177E-2</v>
      </c>
      <c r="N173" s="9" cm="1">
        <f t="array" aca="1" ref="N173" ca="1">SUMPRODUCT(OFFSET(Raw_Weights!$D$2,121,0,11,1),TRANSPOSE(OFFSET(Raw_Returns!$B$2,11,0,1,11)))</f>
        <v>-1.388381173685338E-2</v>
      </c>
      <c r="O173" s="9">
        <f ca="1">(K173-L173)*(M173-N173)</f>
        <v>-1.5672999460058566E-4</v>
      </c>
      <c r="P173" s="9">
        <f ca="1">L173*$K$4</f>
        <v>6.643106881300262E-5</v>
      </c>
      <c r="Q173" s="9">
        <f ca="1">(K173-L173)*$K$4</f>
        <v>4.0047785349498208E-6</v>
      </c>
      <c r="R173" s="9">
        <f ca="1">O173+P173+Q173</f>
        <v>-8.6294147252633221E-5</v>
      </c>
    </row>
    <row r="174" spans="10:18" x14ac:dyDescent="0.35">
      <c r="J174" t="str">
        <f>J5</f>
        <v>Financials</v>
      </c>
      <c r="K174" s="9">
        <f ca="1">OFFSET(Raw_Weights!$C$2,123,0)</f>
        <v>0.12927552651029398</v>
      </c>
      <c r="L174" s="9">
        <f ca="1">OFFSET(Raw_Weights!$D$2,123,0)</f>
        <v>0.15411543940994116</v>
      </c>
      <c r="M174" s="9">
        <f ca="1">OFFSET(Raw_Returns!$B$2,11,2)</f>
        <v>9.4503353672870122E-3</v>
      </c>
      <c r="N174" s="9" cm="1">
        <f t="array" aca="1" ref="N174" ca="1">SUMPRODUCT(OFFSET(Raw_Weights!$D$2,121,0,11,1),TRANSPOSE(OFFSET(Raw_Returns!$B$2,11,0,1,11)))</f>
        <v>-1.388381173685338E-2</v>
      </c>
      <c r="O174" s="9">
        <f ca="1">(K174-L174)*(M174-N174)</f>
        <v>-5.7961818165440187E-4</v>
      </c>
      <c r="P174" s="9">
        <f ca="1">L174*$K$5</f>
        <v>1.5411543940994116E-4</v>
      </c>
      <c r="Q174" s="9">
        <f ca="1">(K174-L174)*$K$5</f>
        <v>-2.4839912899647183E-5</v>
      </c>
      <c r="R174" s="9">
        <f ca="1">O174+P174+Q174</f>
        <v>-4.5034265514410786E-4</v>
      </c>
    </row>
    <row r="175" spans="10:18" x14ac:dyDescent="0.35">
      <c r="J175" t="str">
        <f>J6</f>
        <v>Consumer Discretionary</v>
      </c>
      <c r="K175" s="9">
        <f ca="1">OFFSET(Raw_Weights!$C$2,124,0)</f>
        <v>0.1233942429892963</v>
      </c>
      <c r="L175" s="9">
        <f ca="1">OFFSET(Raw_Weights!$D$2,124,0)</f>
        <v>0.10075734794932276</v>
      </c>
      <c r="M175" s="9">
        <f ca="1">OFFSET(Raw_Returns!$B$2,11,3)</f>
        <v>6.7558743710748551E-3</v>
      </c>
      <c r="N175" s="9" cm="1">
        <f t="array" aca="1" ref="N175" ca="1">SUMPRODUCT(OFFSET(Raw_Weights!$D$2,121,0,11,1),TRANSPOSE(OFFSET(Raw_Returns!$B$2,11,0,1,11)))</f>
        <v>-1.388381173685338E-2</v>
      </c>
      <c r="O175" s="9">
        <f ca="1">(K175-L175)*(M175-N175)</f>
        <v>4.6721840808317146E-4</v>
      </c>
      <c r="P175" s="9">
        <f ca="1">L175*$K$6</f>
        <v>3.0227204384796824E-5</v>
      </c>
      <c r="Q175" s="9">
        <f ca="1">(K175-L175)*$K$6</f>
        <v>6.7910685119920618E-6</v>
      </c>
      <c r="R175" s="9">
        <f ca="1">O175+P175+Q175</f>
        <v>5.0423668097996038E-4</v>
      </c>
    </row>
    <row r="176" spans="10:18" x14ac:dyDescent="0.35">
      <c r="J176" t="str">
        <f>J7</f>
        <v>Industrials</v>
      </c>
      <c r="K176" s="9">
        <f ca="1">OFFSET(Raw_Weights!$C$2,125,0)</f>
        <v>9.6942539853911089E-2</v>
      </c>
      <c r="L176" s="9">
        <f ca="1">OFFSET(Raw_Weights!$D$2,125,0)</f>
        <v>0.11867513157458665</v>
      </c>
      <c r="M176" s="9">
        <f ca="1">OFFSET(Raw_Returns!$B$2,11,4)</f>
        <v>1.9600081679368594E-2</v>
      </c>
      <c r="N176" s="9" cm="1">
        <f t="array" aca="1" ref="N176" ca="1">SUMPRODUCT(OFFSET(Raw_Weights!$D$2,121,0,11,1),TRANSPOSE(OFFSET(Raw_Returns!$B$2,11,0,1,11)))</f>
        <v>-1.388381173685338E-2</v>
      </c>
      <c r="O176" s="9">
        <f ca="1">(K176-L176)*(M176-N176)</f>
        <v>-7.2769178483336847E-4</v>
      </c>
      <c r="P176" s="9">
        <f ca="1">L176*$K$7</f>
        <v>-2.3735026314917329E-5</v>
      </c>
      <c r="Q176" s="9">
        <f ca="1">(K176-L176)*$K$7</f>
        <v>4.3465183441351114E-6</v>
      </c>
      <c r="R176" s="9">
        <f ca="1">O176+P176+Q176</f>
        <v>-7.4708029280415073E-4</v>
      </c>
    </row>
    <row r="177" spans="10:18" x14ac:dyDescent="0.35">
      <c r="J177" t="str">
        <f>J8</f>
        <v>Communication Services</v>
      </c>
      <c r="K177" s="9">
        <f ca="1">OFFSET(Raw_Weights!$C$2,126,0)</f>
        <v>8.7571181661360062E-2</v>
      </c>
      <c r="L177" s="9">
        <f ca="1">OFFSET(Raw_Weights!$D$2,126,0)</f>
        <v>6.8026686570585956E-2</v>
      </c>
      <c r="M177" s="9">
        <f ca="1">OFFSET(Raw_Returns!$B$2,11,5)</f>
        <v>-2.0994594508283223E-2</v>
      </c>
      <c r="N177" s="9" cm="1">
        <f t="array" aca="1" ref="N177" ca="1">SUMPRODUCT(OFFSET(Raw_Weights!$D$2,121,0,11,1),TRANSPOSE(OFFSET(Raw_Returns!$B$2,11,0,1,11)))</f>
        <v>-1.388381173685338E-2</v>
      </c>
      <c r="O177" s="9">
        <f ca="1">(K177-L177)*(M177-N177)</f>
        <v>-1.3897665896777164E-4</v>
      </c>
      <c r="P177" s="9">
        <f ca="1">L177*$K$8</f>
        <v>5.442134925646877E-5</v>
      </c>
      <c r="Q177" s="9">
        <f ca="1">(K177-L177)*$K$8</f>
        <v>1.5635596072619284E-5</v>
      </c>
      <c r="R177" s="9">
        <f ca="1">O177+P177+Q177</f>
        <v>-6.8919713638683597E-5</v>
      </c>
    </row>
    <row r="178" spans="10:18" x14ac:dyDescent="0.35">
      <c r="J178" t="str">
        <f>J9</f>
        <v>Consumer Staples</v>
      </c>
      <c r="K178" s="9">
        <f ca="1">OFFSET(Raw_Weights!$C$2,127,0)</f>
        <v>4.2981909620470382E-2</v>
      </c>
      <c r="L178" s="9">
        <f ca="1">OFFSET(Raw_Weights!$D$2,127,0)</f>
        <v>6.5971553726042062E-2</v>
      </c>
      <c r="M178" s="9">
        <f ca="1">OFFSET(Raw_Returns!$B$2,11,6)</f>
        <v>-3.6179272555469051E-2</v>
      </c>
      <c r="N178" s="9" cm="1">
        <f t="array" aca="1" ref="N178" ca="1">SUMPRODUCT(OFFSET(Raw_Weights!$D$2,121,0,11,1),TRANSPOSE(OFFSET(Raw_Returns!$B$2,11,0,1,11)))</f>
        <v>-1.388381173685338E-2</v>
      </c>
      <c r="O178" s="9">
        <f ca="1">(K178-L178)*(M178-N178)</f>
        <v>5.1256470938969214E-4</v>
      </c>
      <c r="P178" s="9">
        <f ca="1">L178*$K$9</f>
        <v>6.5971553726042065E-5</v>
      </c>
      <c r="Q178" s="9">
        <f ca="1">(K178-L178)*$K$9</f>
        <v>-2.2989644105571681E-5</v>
      </c>
      <c r="R178" s="9">
        <f ca="1">O178+P178+Q178</f>
        <v>5.5554661901016254E-4</v>
      </c>
    </row>
    <row r="179" spans="10:18" x14ac:dyDescent="0.35">
      <c r="J179" t="str">
        <f>J10</f>
        <v>Energy</v>
      </c>
      <c r="K179" s="9">
        <f ca="1">OFFSET(Raw_Weights!$C$2,128,0)</f>
        <v>2.7729919942828918E-2</v>
      </c>
      <c r="L179" s="9">
        <f ca="1">OFFSET(Raw_Weights!$D$2,128,0)</f>
        <v>3.7915379638183866E-2</v>
      </c>
      <c r="M179" s="9">
        <f ca="1">OFFSET(Raw_Returns!$B$2,11,7)</f>
        <v>-6.0747148718924681E-3</v>
      </c>
      <c r="N179" s="9" cm="1">
        <f t="array" aca="1" ref="N179" ca="1">SUMPRODUCT(OFFSET(Raw_Weights!$D$2,121,0,11,1),TRANSPOSE(OFFSET(Raw_Returns!$B$2,11,0,1,11)))</f>
        <v>-1.388381173685338E-2</v>
      </c>
      <c r="O179" s="9">
        <f ca="1">(K179-L179)*(M179-N179)</f>
        <v>-7.9539241375182047E-5</v>
      </c>
      <c r="P179" s="9">
        <f ca="1">L179*$K$10</f>
        <v>1.8957689819091932E-5</v>
      </c>
      <c r="Q179" s="9">
        <f ca="1">(K179-L179)*$K$10</f>
        <v>-5.0927298476774738E-6</v>
      </c>
      <c r="R179" s="9">
        <f ca="1">O179+P179+Q179</f>
        <v>-6.5674281403767593E-5</v>
      </c>
    </row>
    <row r="180" spans="10:18" x14ac:dyDescent="0.35">
      <c r="J180" t="str">
        <f>J11</f>
        <v>Materials</v>
      </c>
      <c r="K180" s="9">
        <f ca="1">OFFSET(Raw_Weights!$C$2,129,0)</f>
        <v>3.4552862343027069E-2</v>
      </c>
      <c r="L180" s="9">
        <f ca="1">OFFSET(Raw_Weights!$D$2,129,0)</f>
        <v>4.098560381108652E-2</v>
      </c>
      <c r="M180" s="9">
        <f ca="1">OFFSET(Raw_Returns!$B$2,11,8)</f>
        <v>4.4094705109252088E-3</v>
      </c>
      <c r="N180" s="9" cm="1">
        <f t="array" aca="1" ref="N180" ca="1">SUMPRODUCT(OFFSET(Raw_Weights!$D$2,121,0,11,1),TRANSPOSE(OFFSET(Raw_Returns!$B$2,11,0,1,11)))</f>
        <v>-1.388381173685338E-2</v>
      </c>
      <c r="O180" s="9">
        <f ca="1">(K180-L180)*(M180-N180)</f>
        <v>-1.1767595530220114E-4</v>
      </c>
      <c r="P180" s="9">
        <f ca="1">L180*$K$11</f>
        <v>-1.2295681143325955E-5</v>
      </c>
      <c r="Q180" s="9">
        <f ca="1">(K180-L180)*$K$11</f>
        <v>1.9298224404178352E-6</v>
      </c>
      <c r="R180" s="9">
        <f ca="1">O180+P180+Q180</f>
        <v>-1.2804181400510926E-4</v>
      </c>
    </row>
    <row r="181" spans="10:18" x14ac:dyDescent="0.35">
      <c r="J181" t="str">
        <f>J12</f>
        <v>Utilities</v>
      </c>
      <c r="K181" s="9">
        <f ca="1">OFFSET(Raw_Weights!$C$2,130,0)</f>
        <v>2.1502582243856202E-2</v>
      </c>
      <c r="L181" s="9">
        <f ca="1">OFFSET(Raw_Weights!$D$2,130,0)</f>
        <v>2.3294957773602742E-2</v>
      </c>
      <c r="M181" s="9">
        <f ca="1">OFFSET(Raw_Returns!$B$2,11,9)</f>
        <v>-4.4747950824251051E-3</v>
      </c>
      <c r="N181" s="9" cm="1">
        <f t="array" aca="1" ref="N181" ca="1">SUMPRODUCT(OFFSET(Raw_Weights!$D$2,121,0,11,1),TRANSPOSE(OFFSET(Raw_Returns!$B$2,11,0,1,11)))</f>
        <v>-1.388381173685338E-2</v>
      </c>
      <c r="O181" s="9">
        <f ca="1">(K181-L181)*(M181-N181)</f>
        <v>-1.6864491210374903E-5</v>
      </c>
      <c r="P181" s="9">
        <f ca="1">L181*$K$12</f>
        <v>4.6589915547205483E-6</v>
      </c>
      <c r="Q181" s="9">
        <f ca="1">(K181-L181)*$K$12</f>
        <v>-3.5847510594930815E-7</v>
      </c>
      <c r="R181" s="9">
        <f ca="1">O181+P181+Q181</f>
        <v>-1.2563974761603663E-5</v>
      </c>
    </row>
    <row r="182" spans="10:18" x14ac:dyDescent="0.35">
      <c r="J182" t="str">
        <f>J13</f>
        <v>Real Estate</v>
      </c>
      <c r="K182" s="9">
        <f ca="1">OFFSET(Raw_Weights!$C$2,131,0)</f>
        <v>1.4328986458018186E-2</v>
      </c>
      <c r="L182" s="9">
        <f ca="1">OFFSET(Raw_Weights!$D$2,131,0)</f>
        <v>1.5013327740326007E-2</v>
      </c>
      <c r="M182" s="9">
        <f ca="1">OFFSET(Raw_Returns!$B$2,11,10)</f>
        <v>-4.2792154364616215E-3</v>
      </c>
      <c r="N182" s="9" cm="1">
        <f t="array" aca="1" ref="N182" ca="1">SUMPRODUCT(OFFSET(Raw_Weights!$D$2,121,0,11,1),TRANSPOSE(OFFSET(Raw_Returns!$B$2,11,0,1,11)))</f>
        <v>-1.388381173685338E-2</v>
      </c>
      <c r="O182" s="9">
        <f ca="1">(K182-L182)*(M182-N182)</f>
        <v>-6.5728217482590495E-6</v>
      </c>
      <c r="P182" s="9">
        <f ca="1">L182*$K$13</f>
        <v>1.5013327740326008E-6</v>
      </c>
      <c r="Q182" s="9">
        <f ca="1">(K182-L182)*$K$13</f>
        <v>-6.8434128230782098E-8</v>
      </c>
      <c r="R182" s="9">
        <f ca="1">O182+P182+Q182</f>
        <v>-5.1399231024572308E-6</v>
      </c>
    </row>
  </sheetData>
  <conditionalFormatting sqref="F6:I16">
    <cfRule type="cellIs" dxfId="9" priority="1" operator="greaterThan">
      <formula>0.005</formula>
    </cfRule>
  </conditionalFormatting>
  <conditionalFormatting sqref="F6:I16">
    <cfRule type="cellIs" dxfId="8" priority="2" operator="lessThan">
      <formula>-0.005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EA6B-4252-4838-9F3D-C46426ECD2EF}">
  <dimension ref="B2:M17"/>
  <sheetViews>
    <sheetView zoomScale="80" workbookViewId="0">
      <pane xSplit="2" topLeftCell="C1" activePane="topRight" state="frozen"/>
      <selection activeCell="A2" sqref="A2"/>
      <selection pane="topRight" activeCell="I13" sqref="I13"/>
    </sheetView>
  </sheetViews>
  <sheetFormatPr defaultRowHeight="14.5" x14ac:dyDescent="0.35"/>
  <cols>
    <col min="1" max="1" width="2.90625" customWidth="1"/>
    <col min="2" max="2" width="13.08984375" customWidth="1"/>
    <col min="3" max="13" width="11.26953125" customWidth="1"/>
  </cols>
  <sheetData>
    <row r="2" spans="2:13" ht="26" customHeight="1" x14ac:dyDescent="0.45">
      <c r="B2" s="5" t="s">
        <v>73</v>
      </c>
    </row>
    <row r="3" spans="2:13" ht="18" customHeight="1" x14ac:dyDescent="0.35">
      <c r="B3" s="6" t="s">
        <v>74</v>
      </c>
    </row>
    <row r="4" spans="2:13" ht="8" customHeight="1" x14ac:dyDescent="0.35"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2:13" ht="40" customHeight="1" x14ac:dyDescent="0.35">
      <c r="B5" s="61" t="s">
        <v>22</v>
      </c>
      <c r="C5" s="62" t="s">
        <v>1</v>
      </c>
      <c r="D5" s="62" t="s">
        <v>2</v>
      </c>
      <c r="E5" s="62" t="s">
        <v>3</v>
      </c>
      <c r="F5" s="62" t="s">
        <v>4</v>
      </c>
      <c r="G5" s="62" t="s">
        <v>5</v>
      </c>
      <c r="H5" s="62" t="s">
        <v>6</v>
      </c>
      <c r="I5" s="62" t="s">
        <v>7</v>
      </c>
      <c r="J5" s="62" t="s">
        <v>8</v>
      </c>
      <c r="K5" s="62" t="s">
        <v>9</v>
      </c>
      <c r="L5" s="62" t="s">
        <v>10</v>
      </c>
      <c r="M5" s="63" t="s">
        <v>11</v>
      </c>
    </row>
    <row r="6" spans="2:13" ht="19" customHeight="1" x14ac:dyDescent="0.35">
      <c r="B6" s="58" t="s">
        <v>40</v>
      </c>
      <c r="C6" s="52">
        <f ca="1">'Sector Attribution'!R18</f>
        <v>7.1912608570289438E-4</v>
      </c>
      <c r="D6" s="52">
        <f ca="1">'Sector Attribution'!R19</f>
        <v>-2.5963083357194992E-4</v>
      </c>
      <c r="E6" s="52">
        <f ca="1">'Sector Attribution'!R20</f>
        <v>-6.2142701565212407E-5</v>
      </c>
      <c r="F6" s="52">
        <f ca="1">'Sector Attribution'!R21</f>
        <v>2.2902916645385147E-4</v>
      </c>
      <c r="G6" s="52">
        <f ca="1">'Sector Attribution'!R22</f>
        <v>2.3565436619548749E-5</v>
      </c>
      <c r="H6" s="52">
        <f ca="1">'Sector Attribution'!R23</f>
        <v>6.3894175672601027E-5</v>
      </c>
      <c r="I6" s="52">
        <f ca="1">'Sector Attribution'!R24</f>
        <v>8.7360586361309137E-4</v>
      </c>
      <c r="J6" s="52">
        <f ca="1">'Sector Attribution'!R25</f>
        <v>-8.5284536485810961E-6</v>
      </c>
      <c r="K6" s="52">
        <f ca="1">'Sector Attribution'!R26</f>
        <v>1.6941990306945974E-6</v>
      </c>
      <c r="L6" s="52">
        <f ca="1">'Sector Attribution'!R27</f>
        <v>-4.4636605283070272E-5</v>
      </c>
      <c r="M6" s="53">
        <f ca="1">'Sector Attribution'!R28</f>
        <v>2.3763365207787659E-4</v>
      </c>
    </row>
    <row r="7" spans="2:13" ht="19" customHeight="1" x14ac:dyDescent="0.35">
      <c r="B7" s="59" t="s">
        <v>41</v>
      </c>
      <c r="C7" s="54">
        <f ca="1">'Sector Attribution'!R32</f>
        <v>-5.6589984216084206E-4</v>
      </c>
      <c r="D7" s="54">
        <f ca="1">'Sector Attribution'!R33</f>
        <v>3.7720558665149987E-4</v>
      </c>
      <c r="E7" s="54">
        <f ca="1">'Sector Attribution'!R34</f>
        <v>6.8318637820298901E-4</v>
      </c>
      <c r="F7" s="54">
        <f ca="1">'Sector Attribution'!R35</f>
        <v>-2.1020772203996456E-4</v>
      </c>
      <c r="G7" s="54">
        <f ca="1">'Sector Attribution'!R36</f>
        <v>-1.6997012194461923E-4</v>
      </c>
      <c r="H7" s="54">
        <f ca="1">'Sector Attribution'!R37</f>
        <v>6.7744339255307361E-4</v>
      </c>
      <c r="I7" s="54">
        <f ca="1">'Sector Attribution'!R38</f>
        <v>-5.6897629674896765E-5</v>
      </c>
      <c r="J7" s="54">
        <f ca="1">'Sector Attribution'!R39</f>
        <v>-4.5919011696127947E-4</v>
      </c>
      <c r="K7" s="54">
        <f ca="1">'Sector Attribution'!R40</f>
        <v>6.0198358769685581E-6</v>
      </c>
      <c r="L7" s="54">
        <f ca="1">'Sector Attribution'!R41</f>
        <v>8.9561103977950116E-6</v>
      </c>
      <c r="M7" s="55">
        <f ca="1">'Sector Attribution'!R42</f>
        <v>-2.0454681687899902E-4</v>
      </c>
    </row>
    <row r="8" spans="2:13" ht="19" customHeight="1" x14ac:dyDescent="0.35">
      <c r="B8" s="58" t="s">
        <v>42</v>
      </c>
      <c r="C8" s="52">
        <f ca="1">'Sector Attribution'!R46</f>
        <v>-1.2592916649635099E-4</v>
      </c>
      <c r="D8" s="52">
        <f ca="1">'Sector Attribution'!R47</f>
        <v>-1.1849473507702524E-4</v>
      </c>
      <c r="E8" s="52">
        <f ca="1">'Sector Attribution'!R48</f>
        <v>2.2838333257495184E-4</v>
      </c>
      <c r="F8" s="52">
        <f ca="1">'Sector Attribution'!R49</f>
        <v>5.0122773241001841E-4</v>
      </c>
      <c r="G8" s="52">
        <f ca="1">'Sector Attribution'!R50</f>
        <v>-1.6487002203732185E-5</v>
      </c>
      <c r="H8" s="52">
        <f ca="1">'Sector Attribution'!R51</f>
        <v>-1.115946794354353E-4</v>
      </c>
      <c r="I8" s="52">
        <f ca="1">'Sector Attribution'!R52</f>
        <v>-6.3324846109627877E-4</v>
      </c>
      <c r="J8" s="52">
        <f ca="1">'Sector Attribution'!R53</f>
        <v>-2.7656800958176088E-4</v>
      </c>
      <c r="K8" s="52">
        <f ca="1">'Sector Attribution'!R54</f>
        <v>1.3987597418882649E-5</v>
      </c>
      <c r="L8" s="52">
        <f ca="1">'Sector Attribution'!R55</f>
        <v>-2.010662717856639E-4</v>
      </c>
      <c r="M8" s="53">
        <f ca="1">'Sector Attribution'!R56</f>
        <v>-2.3297205264527764E-5</v>
      </c>
    </row>
    <row r="9" spans="2:13" ht="19" customHeight="1" x14ac:dyDescent="0.35">
      <c r="B9" s="59" t="s">
        <v>43</v>
      </c>
      <c r="C9" s="54">
        <f ca="1">'Sector Attribution'!R60</f>
        <v>3.2699537103894914E-4</v>
      </c>
      <c r="D9" s="54">
        <f ca="1">'Sector Attribution'!R61</f>
        <v>5.5675721795409762E-5</v>
      </c>
      <c r="E9" s="54">
        <f ca="1">'Sector Attribution'!R62</f>
        <v>-1.2385852908311672E-4</v>
      </c>
      <c r="F9" s="54">
        <f ca="1">'Sector Attribution'!R63</f>
        <v>1.8436677570648344E-4</v>
      </c>
      <c r="G9" s="54">
        <f ca="1">'Sector Attribution'!R64</f>
        <v>1.0459134411866548E-4</v>
      </c>
      <c r="H9" s="54">
        <f ca="1">'Sector Attribution'!R65</f>
        <v>-5.8097638351535459E-5</v>
      </c>
      <c r="I9" s="54">
        <f ca="1">'Sector Attribution'!R66</f>
        <v>5.5185902082082003E-4</v>
      </c>
      <c r="J9" s="54">
        <f ca="1">'Sector Attribution'!R67</f>
        <v>1.056059186994304E-4</v>
      </c>
      <c r="K9" s="54">
        <f ca="1">'Sector Attribution'!R68</f>
        <v>-2.0357988358857622E-5</v>
      </c>
      <c r="L9" s="54">
        <f ca="1">'Sector Attribution'!R69</f>
        <v>-3.8185319647627927E-5</v>
      </c>
      <c r="M9" s="55">
        <f ca="1">'Sector Attribution'!R70</f>
        <v>-7.80837077994915E-6</v>
      </c>
    </row>
    <row r="10" spans="2:13" ht="19" customHeight="1" x14ac:dyDescent="0.35">
      <c r="B10" s="58" t="s">
        <v>44</v>
      </c>
      <c r="C10" s="52">
        <f ca="1">'Sector Attribution'!R74</f>
        <v>-3.1627574637571273E-4</v>
      </c>
      <c r="D10" s="52">
        <f ca="1">'Sector Attribution'!R75</f>
        <v>1.335651977601563E-5</v>
      </c>
      <c r="E10" s="52">
        <f ca="1">'Sector Attribution'!R76</f>
        <v>-1.8591404458790517E-4</v>
      </c>
      <c r="F10" s="52">
        <f ca="1">'Sector Attribution'!R77</f>
        <v>-1.2183758412294102E-4</v>
      </c>
      <c r="G10" s="52">
        <f ca="1">'Sector Attribution'!R78</f>
        <v>-1.7868491702877065E-4</v>
      </c>
      <c r="H10" s="52">
        <f ca="1">'Sector Attribution'!R79</f>
        <v>1.3990227539969265E-4</v>
      </c>
      <c r="I10" s="52">
        <f ca="1">'Sector Attribution'!R80</f>
        <v>1.2590324495529142E-4</v>
      </c>
      <c r="J10" s="52">
        <f ca="1">'Sector Attribution'!R81</f>
        <v>3.4491358272366438E-4</v>
      </c>
      <c r="K10" s="52">
        <f ca="1">'Sector Attribution'!R82</f>
        <v>-1.0146842317033264E-4</v>
      </c>
      <c r="L10" s="52">
        <f ca="1">'Sector Attribution'!R83</f>
        <v>7.4680421891407955E-5</v>
      </c>
      <c r="M10" s="53">
        <f ca="1">'Sector Attribution'!R84</f>
        <v>1.2205717183606537E-4</v>
      </c>
    </row>
    <row r="11" spans="2:13" ht="19" customHeight="1" x14ac:dyDescent="0.35">
      <c r="B11" s="59" t="s">
        <v>45</v>
      </c>
      <c r="C11" s="54">
        <f ca="1">'Sector Attribution'!R88</f>
        <v>1.4983404422239317E-4</v>
      </c>
      <c r="D11" s="54">
        <f ca="1">'Sector Attribution'!R89</f>
        <v>-1.0883044448157988E-4</v>
      </c>
      <c r="E11" s="54">
        <f ca="1">'Sector Attribution'!R90</f>
        <v>2.6060064225801434E-4</v>
      </c>
      <c r="F11" s="54">
        <f ca="1">'Sector Attribution'!R91</f>
        <v>1.0659462100214779E-4</v>
      </c>
      <c r="G11" s="54">
        <f ca="1">'Sector Attribution'!R92</f>
        <v>5.3314352952281386E-5</v>
      </c>
      <c r="H11" s="54">
        <f ca="1">'Sector Attribution'!R93</f>
        <v>-5.3677345805907104E-5</v>
      </c>
      <c r="I11" s="54">
        <f ca="1">'Sector Attribution'!R94</f>
        <v>-4.573605205168557E-5</v>
      </c>
      <c r="J11" s="54">
        <f ca="1">'Sector Attribution'!R95</f>
        <v>2.2155639607552254E-4</v>
      </c>
      <c r="K11" s="54">
        <f ca="1">'Sector Attribution'!R96</f>
        <v>-6.7627809792309595E-4</v>
      </c>
      <c r="L11" s="54">
        <f ca="1">'Sector Attribution'!R97</f>
        <v>-3.7970787594874368E-4</v>
      </c>
      <c r="M11" s="55">
        <f ca="1">'Sector Attribution'!R98</f>
        <v>-1.9385025598065878E-5</v>
      </c>
    </row>
    <row r="12" spans="2:13" ht="19" customHeight="1" x14ac:dyDescent="0.35">
      <c r="B12" s="58" t="s">
        <v>46</v>
      </c>
      <c r="C12" s="52">
        <f ca="1">'Sector Attribution'!R102</f>
        <v>6.2800224007672419E-5</v>
      </c>
      <c r="D12" s="52">
        <f ca="1">'Sector Attribution'!R103</f>
        <v>-3.7525630194529486E-4</v>
      </c>
      <c r="E12" s="52">
        <f ca="1">'Sector Attribution'!R104</f>
        <v>-1.4799707727558831E-5</v>
      </c>
      <c r="F12" s="52">
        <f ca="1">'Sector Attribution'!R105</f>
        <v>3.09239624087249E-4</v>
      </c>
      <c r="G12" s="52">
        <f ca="1">'Sector Attribution'!R106</f>
        <v>-1.392894272420321E-4</v>
      </c>
      <c r="H12" s="52">
        <f ca="1">'Sector Attribution'!R107</f>
        <v>1.460904491300024E-4</v>
      </c>
      <c r="I12" s="52">
        <f ca="1">'Sector Attribution'!R108</f>
        <v>5.5994143821772491E-4</v>
      </c>
      <c r="J12" s="52">
        <f ca="1">'Sector Attribution'!R109</f>
        <v>1.6693178181117276E-4</v>
      </c>
      <c r="K12" s="52">
        <f ca="1">'Sector Attribution'!R110</f>
        <v>-1.2571272516850808E-5</v>
      </c>
      <c r="L12" s="52">
        <f ca="1">'Sector Attribution'!R111</f>
        <v>3.9565913793998509E-4</v>
      </c>
      <c r="M12" s="53">
        <f ca="1">'Sector Attribution'!R112</f>
        <v>-1.1324713209146728E-5</v>
      </c>
    </row>
    <row r="13" spans="2:13" ht="19" customHeight="1" x14ac:dyDescent="0.35">
      <c r="B13" s="59" t="s">
        <v>47</v>
      </c>
      <c r="C13" s="54">
        <f ca="1">'Sector Attribution'!R116</f>
        <v>-7.2100336186691578E-4</v>
      </c>
      <c r="D13" s="54">
        <f ca="1">'Sector Attribution'!R117</f>
        <v>8.9181514893330407E-4</v>
      </c>
      <c r="E13" s="54">
        <f ca="1">'Sector Attribution'!R118</f>
        <v>1.456002319605193E-4</v>
      </c>
      <c r="F13" s="54">
        <f ca="1">'Sector Attribution'!R119</f>
        <v>5.2988114860166543E-4</v>
      </c>
      <c r="G13" s="54">
        <f ca="1">'Sector Attribution'!R120</f>
        <v>-3.8473002703975657E-4</v>
      </c>
      <c r="H13" s="54">
        <f ca="1">'Sector Attribution'!R121</f>
        <v>-2.5167897363467622E-4</v>
      </c>
      <c r="I13" s="54">
        <f ca="1">'Sector Attribution'!R122</f>
        <v>-9.7645720732341583E-5</v>
      </c>
      <c r="J13" s="54">
        <f ca="1">'Sector Attribution'!R123</f>
        <v>3.0153504578684184E-4</v>
      </c>
      <c r="K13" s="54">
        <f ca="1">'Sector Attribution'!R124</f>
        <v>-8.9056891407500395E-5</v>
      </c>
      <c r="L13" s="54">
        <f ca="1">'Sector Attribution'!R125</f>
        <v>2.3969974565808013E-4</v>
      </c>
      <c r="M13" s="55">
        <f ca="1">'Sector Attribution'!R126</f>
        <v>2.1445269285482358E-4</v>
      </c>
    </row>
    <row r="14" spans="2:13" ht="19" customHeight="1" x14ac:dyDescent="0.35">
      <c r="B14" s="58" t="s">
        <v>48</v>
      </c>
      <c r="C14" s="52">
        <f ca="1">'Sector Attribution'!R130</f>
        <v>1.5505595999949272E-3</v>
      </c>
      <c r="D14" s="52">
        <f ca="1">'Sector Attribution'!R131</f>
        <v>1.1853599819084701E-4</v>
      </c>
      <c r="E14" s="52">
        <f ca="1">'Sector Attribution'!R132</f>
        <v>8.5720564882650532E-4</v>
      </c>
      <c r="F14" s="52">
        <f ca="1">'Sector Attribution'!R133</f>
        <v>-1.7663097081688163E-4</v>
      </c>
      <c r="G14" s="52">
        <f ca="1">'Sector Attribution'!R134</f>
        <v>-9.8146621155239391E-5</v>
      </c>
      <c r="H14" s="52">
        <f ca="1">'Sector Attribution'!R135</f>
        <v>3.4782399311667452E-5</v>
      </c>
      <c r="I14" s="52">
        <f ca="1">'Sector Attribution'!R136</f>
        <v>3.1812568774344097E-4</v>
      </c>
      <c r="J14" s="52">
        <f ca="1">'Sector Attribution'!R137</f>
        <v>5.6835475397106311E-5</v>
      </c>
      <c r="K14" s="52">
        <f ca="1">'Sector Attribution'!R138</f>
        <v>-9.0271627404519705E-6</v>
      </c>
      <c r="L14" s="52">
        <f ca="1">'Sector Attribution'!R139</f>
        <v>-5.7343264372035619E-5</v>
      </c>
      <c r="M14" s="53">
        <f ca="1">'Sector Attribution'!R140</f>
        <v>1.484264269109001E-7</v>
      </c>
    </row>
    <row r="15" spans="2:13" ht="19" customHeight="1" x14ac:dyDescent="0.35">
      <c r="B15" s="59" t="s">
        <v>49</v>
      </c>
      <c r="C15" s="54">
        <f ca="1">'Sector Attribution'!R144</f>
        <v>6.0296557246816587E-4</v>
      </c>
      <c r="D15" s="54">
        <f ca="1">'Sector Attribution'!R145</f>
        <v>-3.3950263034425763E-4</v>
      </c>
      <c r="E15" s="54">
        <f ca="1">'Sector Attribution'!R146</f>
        <v>2.0788604538659499E-4</v>
      </c>
      <c r="F15" s="54">
        <f ca="1">'Sector Attribution'!R147</f>
        <v>1.7017741905362224E-4</v>
      </c>
      <c r="G15" s="54">
        <f ca="1">'Sector Attribution'!R148</f>
        <v>5.6149491735059478E-6</v>
      </c>
      <c r="H15" s="54">
        <f ca="1">'Sector Attribution'!R149</f>
        <v>1.4530468504619646E-4</v>
      </c>
      <c r="I15" s="54">
        <f ca="1">'Sector Attribution'!R150</f>
        <v>2.9543665244565799E-4</v>
      </c>
      <c r="J15" s="54">
        <f ca="1">'Sector Attribution'!R151</f>
        <v>-1.8847928602077409E-4</v>
      </c>
      <c r="K15" s="54">
        <f ca="1">'Sector Attribution'!R152</f>
        <v>1.3313478446591711E-4</v>
      </c>
      <c r="L15" s="54">
        <f ca="1">'Sector Attribution'!R153</f>
        <v>5.2309172889129415E-5</v>
      </c>
      <c r="M15" s="55">
        <f ca="1">'Sector Attribution'!R154</f>
        <v>-8.4708266450966613E-5</v>
      </c>
    </row>
    <row r="16" spans="2:13" ht="19" customHeight="1" x14ac:dyDescent="0.35">
      <c r="B16" s="58" t="s">
        <v>50</v>
      </c>
      <c r="C16" s="52">
        <f ca="1">'Sector Attribution'!R158</f>
        <v>-1.7209056995884125E-5</v>
      </c>
      <c r="D16" s="52">
        <f ca="1">'Sector Attribution'!R159</f>
        <v>3.379708971724141E-4</v>
      </c>
      <c r="E16" s="52">
        <f ca="1">'Sector Attribution'!R160</f>
        <v>5.2182853921398662E-4</v>
      </c>
      <c r="F16" s="52">
        <f ca="1">'Sector Attribution'!R161</f>
        <v>5.5581319692090736E-6</v>
      </c>
      <c r="G16" s="52">
        <f ca="1">'Sector Attribution'!R162</f>
        <v>-2.7125001040769954E-5</v>
      </c>
      <c r="H16" s="52">
        <f ca="1">'Sector Attribution'!R163</f>
        <v>4.6026685941093906E-5</v>
      </c>
      <c r="I16" s="52">
        <f ca="1">'Sector Attribution'!R164</f>
        <v>3.2086039760688905E-4</v>
      </c>
      <c r="J16" s="52">
        <f ca="1">'Sector Attribution'!R165</f>
        <v>-8.7091482238451571E-4</v>
      </c>
      <c r="K16" s="52">
        <f ca="1">'Sector Attribution'!R166</f>
        <v>-3.83299876049487E-5</v>
      </c>
      <c r="L16" s="52">
        <f ca="1">'Sector Attribution'!R167</f>
        <v>-1.4013675477441247E-4</v>
      </c>
      <c r="M16" s="53">
        <f ca="1">'Sector Attribution'!R168</f>
        <v>1.3690282842134379E-5</v>
      </c>
    </row>
    <row r="17" spans="2:13" ht="19" customHeight="1" thickBot="1" x14ac:dyDescent="0.4">
      <c r="B17" s="60" t="s">
        <v>51</v>
      </c>
      <c r="C17" s="56">
        <f ca="1">'Sector Attribution'!R172</f>
        <v>-7.5137901767356849E-4</v>
      </c>
      <c r="D17" s="56">
        <f ca="1">'Sector Attribution'!R173</f>
        <v>-8.6294147252633221E-5</v>
      </c>
      <c r="E17" s="56">
        <f ca="1">'Sector Attribution'!R174</f>
        <v>-4.5034265514410786E-4</v>
      </c>
      <c r="F17" s="56">
        <f ca="1">'Sector Attribution'!R175</f>
        <v>5.0423668097996038E-4</v>
      </c>
      <c r="G17" s="56">
        <f ca="1">'Sector Attribution'!R176</f>
        <v>-7.4708029280415073E-4</v>
      </c>
      <c r="H17" s="56">
        <f ca="1">'Sector Attribution'!R177</f>
        <v>-6.8919713638683597E-5</v>
      </c>
      <c r="I17" s="56">
        <f ca="1">'Sector Attribution'!R178</f>
        <v>5.5554661901016254E-4</v>
      </c>
      <c r="J17" s="56">
        <f ca="1">'Sector Attribution'!R179</f>
        <v>-6.5674281403767593E-5</v>
      </c>
      <c r="K17" s="56">
        <f ca="1">'Sector Attribution'!R180</f>
        <v>-1.2804181400510926E-4</v>
      </c>
      <c r="L17" s="56">
        <f ca="1">'Sector Attribution'!R181</f>
        <v>-1.2563974761603663E-5</v>
      </c>
      <c r="M17" s="57">
        <f ca="1">'Sector Attribution'!R182</f>
        <v>-5.1399231024572308E-6</v>
      </c>
    </row>
  </sheetData>
  <conditionalFormatting sqref="C6:M17">
    <cfRule type="cellIs" dxfId="7" priority="1" operator="greaterThan">
      <formula>0.002</formula>
    </cfRule>
  </conditionalFormatting>
  <conditionalFormatting sqref="C6:M17">
    <cfRule type="cellIs" dxfId="6" priority="2" operator="lessThan">
      <formula>-0.002</formula>
    </cfRule>
  </conditionalFormatting>
  <conditionalFormatting sqref="C6:M17">
    <cfRule type="cellIs" dxfId="5" priority="3" operator="between">
      <formula>0</formula>
      <formula>0.002</formula>
    </cfRule>
  </conditionalFormatting>
  <conditionalFormatting sqref="C6:M17">
    <cfRule type="cellIs" dxfId="4" priority="4" operator="between">
      <formula>-0.002</formula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D28A-2C92-45F5-8F5B-D621E86BCEDD}">
  <dimension ref="A1:K18"/>
  <sheetViews>
    <sheetView tabSelected="1" topLeftCell="A15" zoomScale="80" workbookViewId="0">
      <selection activeCell="M15" sqref="M15"/>
    </sheetView>
  </sheetViews>
  <sheetFormatPr defaultRowHeight="14.5" x14ac:dyDescent="0.35"/>
  <cols>
    <col min="1" max="1" width="2.90625" customWidth="1"/>
    <col min="2" max="2" width="14.54296875" customWidth="1"/>
    <col min="3" max="3" width="19.08984375" customWidth="1"/>
    <col min="4" max="4" width="17.26953125" customWidth="1"/>
    <col min="5" max="5" width="16" customWidth="1"/>
    <col min="6" max="6" width="27.26953125" customWidth="1"/>
    <col min="7" max="8" width="19.08984375" customWidth="1"/>
    <col min="10" max="10" width="12.7265625" customWidth="1"/>
    <col min="11" max="11" width="14.54296875" customWidth="1"/>
  </cols>
  <sheetData>
    <row r="1" spans="1:11" x14ac:dyDescent="0.35">
      <c r="A1" t="s">
        <v>82</v>
      </c>
    </row>
    <row r="2" spans="1:11" ht="26" customHeight="1" x14ac:dyDescent="0.45">
      <c r="B2" s="5" t="s">
        <v>19</v>
      </c>
    </row>
    <row r="3" spans="1:11" ht="18" customHeight="1" x14ac:dyDescent="0.35">
      <c r="B3" s="6" t="s">
        <v>75</v>
      </c>
    </row>
    <row r="4" spans="1:11" ht="8" customHeight="1" thickBot="1" x14ac:dyDescent="0.4"/>
    <row r="5" spans="1:11" ht="24" customHeight="1" x14ac:dyDescent="0.35">
      <c r="B5" s="45" t="s">
        <v>22</v>
      </c>
      <c r="C5" s="10" t="s">
        <v>76</v>
      </c>
      <c r="D5" s="10" t="s">
        <v>77</v>
      </c>
      <c r="E5" s="10" t="s">
        <v>78</v>
      </c>
      <c r="F5" s="10" t="s">
        <v>79</v>
      </c>
      <c r="G5" s="10" t="s">
        <v>80</v>
      </c>
      <c r="H5" s="11" t="s">
        <v>81</v>
      </c>
      <c r="J5" s="82" t="s">
        <v>22</v>
      </c>
      <c r="K5" s="82" t="s">
        <v>81</v>
      </c>
    </row>
    <row r="6" spans="1:11" ht="20" customHeight="1" x14ac:dyDescent="0.35">
      <c r="B6" s="64">
        <f>Raw_AUM!A2</f>
        <v>45839</v>
      </c>
      <c r="C6" s="65">
        <f>Raw_AUM!B2</f>
        <v>2450</v>
      </c>
      <c r="D6" s="66">
        <f>Raw_AUM!C2</f>
        <v>52.4</v>
      </c>
      <c r="E6" s="67" t="str">
        <f>IF(Raw_AUM!C2&gt;0,"Inflow","Outflow")</f>
        <v>Inflow</v>
      </c>
      <c r="F6" s="66">
        <f>SUM(D$6:D6)</f>
        <v>52.4</v>
      </c>
      <c r="G6" s="68">
        <f>Raw_AUM!D2/100</f>
        <v>2.9300000000000003E-2</v>
      </c>
      <c r="H6" s="69">
        <f>Raw_AUM!E2</f>
        <v>2574.3000000000002</v>
      </c>
      <c r="J6" s="83" t="s">
        <v>40</v>
      </c>
      <c r="K6" s="85">
        <f>H6</f>
        <v>2574.3000000000002</v>
      </c>
    </row>
    <row r="7" spans="1:11" ht="20" customHeight="1" x14ac:dyDescent="0.35">
      <c r="B7" s="70">
        <f>Raw_AUM!A3</f>
        <v>45870</v>
      </c>
      <c r="C7" s="71">
        <f>Raw_AUM!B3</f>
        <v>2574.3000000000002</v>
      </c>
      <c r="D7" s="72">
        <f>Raw_AUM!C3</f>
        <v>35.1</v>
      </c>
      <c r="E7" s="73" t="str">
        <f>IF(Raw_AUM!C3&gt;0,"Inflow","Outflow")</f>
        <v>Inflow</v>
      </c>
      <c r="F7" s="72">
        <f>SUM(D$6:D7)</f>
        <v>87.5</v>
      </c>
      <c r="G7" s="74">
        <f>Raw_AUM!D3/100</f>
        <v>-2.5699999999999997E-2</v>
      </c>
      <c r="H7" s="75">
        <f>Raw_AUM!E3</f>
        <v>2543.1</v>
      </c>
      <c r="J7" s="83" t="s">
        <v>41</v>
      </c>
      <c r="K7" s="85">
        <f>H7</f>
        <v>2543.1</v>
      </c>
    </row>
    <row r="8" spans="1:11" ht="20" customHeight="1" x14ac:dyDescent="0.35">
      <c r="B8" s="64">
        <f>Raw_AUM!A4</f>
        <v>45901</v>
      </c>
      <c r="C8" s="65">
        <f>Raw_AUM!B4</f>
        <v>2543.1</v>
      </c>
      <c r="D8" s="66">
        <f>Raw_AUM!C4</f>
        <v>-16.5</v>
      </c>
      <c r="E8" s="67" t="str">
        <f>IF(Raw_AUM!C4&gt;0,"Inflow","Outflow")</f>
        <v>Outflow</v>
      </c>
      <c r="F8" s="66">
        <f>SUM(D$6:D8)</f>
        <v>71</v>
      </c>
      <c r="G8" s="68">
        <f>Raw_AUM!D4/100</f>
        <v>5.45E-2</v>
      </c>
      <c r="H8" s="69">
        <f>Raw_AUM!E4</f>
        <v>2665.3</v>
      </c>
      <c r="J8" s="83" t="s">
        <v>42</v>
      </c>
      <c r="K8" s="85">
        <f>H8</f>
        <v>2665.3</v>
      </c>
    </row>
    <row r="9" spans="1:11" ht="20" customHeight="1" x14ac:dyDescent="0.35">
      <c r="B9" s="70">
        <f>Raw_AUM!A5</f>
        <v>45931</v>
      </c>
      <c r="C9" s="71">
        <f>Raw_AUM!B5</f>
        <v>2665.3</v>
      </c>
      <c r="D9" s="72">
        <f>Raw_AUM!C5</f>
        <v>69.7</v>
      </c>
      <c r="E9" s="73" t="str">
        <f>IF(Raw_AUM!C5&gt;0,"Inflow","Outflow")</f>
        <v>Inflow</v>
      </c>
      <c r="F9" s="72">
        <f>SUM(D$6:D9)</f>
        <v>140.69999999999999</v>
      </c>
      <c r="G9" s="74">
        <f>Raw_AUM!D5/100</f>
        <v>1.15E-2</v>
      </c>
      <c r="H9" s="75">
        <f>Raw_AUM!E5</f>
        <v>2765.6</v>
      </c>
      <c r="J9" s="83" t="s">
        <v>43</v>
      </c>
      <c r="K9" s="85">
        <f>H9</f>
        <v>2765.6</v>
      </c>
    </row>
    <row r="10" spans="1:11" ht="20" customHeight="1" x14ac:dyDescent="0.35">
      <c r="B10" s="64">
        <f>Raw_AUM!A6</f>
        <v>45962</v>
      </c>
      <c r="C10" s="65">
        <f>Raw_AUM!B6</f>
        <v>2765.6</v>
      </c>
      <c r="D10" s="66">
        <f>Raw_AUM!C6</f>
        <v>49.3</v>
      </c>
      <c r="E10" s="67" t="str">
        <f>IF(Raw_AUM!C6&gt;0,"Inflow","Outflow")</f>
        <v>Inflow</v>
      </c>
      <c r="F10" s="66">
        <f>SUM(D$6:D10)</f>
        <v>190</v>
      </c>
      <c r="G10" s="68">
        <f>Raw_AUM!D6/100</f>
        <v>5.0000000000000001E-4</v>
      </c>
      <c r="H10" s="69">
        <f>Raw_AUM!E6</f>
        <v>2816.3</v>
      </c>
      <c r="J10" s="83" t="s">
        <v>44</v>
      </c>
      <c r="K10" s="85">
        <f>H10</f>
        <v>2816.3</v>
      </c>
    </row>
    <row r="11" spans="1:11" ht="20" customHeight="1" x14ac:dyDescent="0.35">
      <c r="B11" s="70">
        <f>Raw_AUM!A7</f>
        <v>45992</v>
      </c>
      <c r="C11" s="71">
        <f>Raw_AUM!B7</f>
        <v>2816.3</v>
      </c>
      <c r="D11" s="72">
        <f>Raw_AUM!C7</f>
        <v>-39</v>
      </c>
      <c r="E11" s="73" t="str">
        <f>IF(Raw_AUM!C7&gt;0,"Inflow","Outflow")</f>
        <v>Outflow</v>
      </c>
      <c r="F11" s="72">
        <f>SUM(D$6:D11)</f>
        <v>151</v>
      </c>
      <c r="G11" s="74">
        <f>Raw_AUM!D7/100</f>
        <v>3.7100000000000001E-2</v>
      </c>
      <c r="H11" s="75">
        <f>Raw_AUM!E7</f>
        <v>2881.9</v>
      </c>
      <c r="J11" s="83" t="s">
        <v>45</v>
      </c>
      <c r="K11" s="85">
        <f>H11</f>
        <v>2881.9</v>
      </c>
    </row>
    <row r="12" spans="1:11" ht="20" customHeight="1" x14ac:dyDescent="0.35">
      <c r="B12" s="64">
        <f>Raw_AUM!A8</f>
        <v>46023</v>
      </c>
      <c r="C12" s="65">
        <f>Raw_AUM!B8</f>
        <v>2881.9</v>
      </c>
      <c r="D12" s="66">
        <f>Raw_AUM!C8</f>
        <v>53.4</v>
      </c>
      <c r="E12" s="67" t="str">
        <f>IF(Raw_AUM!C8&gt;0,"Inflow","Outflow")</f>
        <v>Inflow</v>
      </c>
      <c r="F12" s="66">
        <f>SUM(D$6:D12)</f>
        <v>204.4</v>
      </c>
      <c r="G12" s="68">
        <f>Raw_AUM!D8/100</f>
        <v>-2.0899999999999998E-2</v>
      </c>
      <c r="H12" s="69">
        <f>Raw_AUM!E8</f>
        <v>2875</v>
      </c>
      <c r="J12" s="83" t="s">
        <v>46</v>
      </c>
      <c r="K12" s="85">
        <f>H12</f>
        <v>2875</v>
      </c>
    </row>
    <row r="13" spans="1:11" ht="20" customHeight="1" x14ac:dyDescent="0.35">
      <c r="B13" s="70">
        <f>Raw_AUM!A9</f>
        <v>46054</v>
      </c>
      <c r="C13" s="71">
        <f>Raw_AUM!B9</f>
        <v>2875</v>
      </c>
      <c r="D13" s="72">
        <f>Raw_AUM!C9</f>
        <v>-39.5</v>
      </c>
      <c r="E13" s="73" t="str">
        <f>IF(Raw_AUM!C9&gt;0,"Inflow","Outflow")</f>
        <v>Outflow</v>
      </c>
      <c r="F13" s="72">
        <f>SUM(D$6:D13)</f>
        <v>164.9</v>
      </c>
      <c r="G13" s="74">
        <f>Raw_AUM!D9/100</f>
        <v>2.86E-2</v>
      </c>
      <c r="H13" s="75">
        <f>Raw_AUM!E9</f>
        <v>2917.7</v>
      </c>
      <c r="J13" s="83" t="s">
        <v>47</v>
      </c>
      <c r="K13" s="85">
        <f>H13</f>
        <v>2917.7</v>
      </c>
    </row>
    <row r="14" spans="1:11" ht="20" customHeight="1" x14ac:dyDescent="0.35">
      <c r="B14" s="64">
        <f>Raw_AUM!A10</f>
        <v>46082</v>
      </c>
      <c r="C14" s="65">
        <f>Raw_AUM!B10</f>
        <v>2917.7</v>
      </c>
      <c r="D14" s="66">
        <f>Raw_AUM!C10</f>
        <v>51.3</v>
      </c>
      <c r="E14" s="67" t="str">
        <f>IF(Raw_AUM!C10&gt;0,"Inflow","Outflow")</f>
        <v>Inflow</v>
      </c>
      <c r="F14" s="66">
        <f>SUM(D$6:D14)</f>
        <v>216.2</v>
      </c>
      <c r="G14" s="68">
        <f>Raw_AUM!D10/100</f>
        <v>-2.75E-2</v>
      </c>
      <c r="H14" s="69">
        <f>Raw_AUM!E10</f>
        <v>2888.7</v>
      </c>
      <c r="J14" s="83" t="s">
        <v>48</v>
      </c>
      <c r="K14" s="85">
        <f>H14</f>
        <v>2888.7</v>
      </c>
    </row>
    <row r="15" spans="1:11" ht="20" customHeight="1" x14ac:dyDescent="0.35">
      <c r="B15" s="70">
        <f>Raw_AUM!A11</f>
        <v>46113</v>
      </c>
      <c r="C15" s="71">
        <f>Raw_AUM!B11</f>
        <v>2888.7</v>
      </c>
      <c r="D15" s="72">
        <f>Raw_AUM!C11</f>
        <v>34.4</v>
      </c>
      <c r="E15" s="73" t="str">
        <f>IF(Raw_AUM!C11&gt;0,"Inflow","Outflow")</f>
        <v>Inflow</v>
      </c>
      <c r="F15" s="72">
        <f>SUM(D$6:D15)</f>
        <v>250.6</v>
      </c>
      <c r="G15" s="74">
        <f>Raw_AUM!D11/100</f>
        <v>-5.3200000000000004E-2</v>
      </c>
      <c r="H15" s="75">
        <f>Raw_AUM!E11</f>
        <v>2769.5</v>
      </c>
      <c r="J15" s="83" t="s">
        <v>49</v>
      </c>
      <c r="K15" s="85">
        <f>H15</f>
        <v>2769.5</v>
      </c>
    </row>
    <row r="16" spans="1:11" ht="20" customHeight="1" x14ac:dyDescent="0.35">
      <c r="B16" s="64">
        <f>Raw_AUM!A12</f>
        <v>46143</v>
      </c>
      <c r="C16" s="65">
        <f>Raw_AUM!B12</f>
        <v>2769.5</v>
      </c>
      <c r="D16" s="66">
        <f>Raw_AUM!C12</f>
        <v>64.900000000000006</v>
      </c>
      <c r="E16" s="67" t="str">
        <f>IF(Raw_AUM!C12&gt;0,"Inflow","Outflow")</f>
        <v>Inflow</v>
      </c>
      <c r="F16" s="66">
        <f>SUM(D$6:D16)</f>
        <v>315.5</v>
      </c>
      <c r="G16" s="68">
        <f>Raw_AUM!D12/100</f>
        <v>5.6900000000000006E-2</v>
      </c>
      <c r="H16" s="69">
        <f>Raw_AUM!E12</f>
        <v>2991.8</v>
      </c>
      <c r="J16" s="83" t="s">
        <v>50</v>
      </c>
      <c r="K16" s="85">
        <f>H16</f>
        <v>2991.8</v>
      </c>
    </row>
    <row r="17" spans="2:11" ht="20" customHeight="1" x14ac:dyDescent="0.35">
      <c r="B17" s="70">
        <f>Raw_AUM!A13</f>
        <v>46174</v>
      </c>
      <c r="C17" s="71">
        <f>Raw_AUM!B13</f>
        <v>2991.8</v>
      </c>
      <c r="D17" s="72">
        <f>Raw_AUM!C13</f>
        <v>76.5</v>
      </c>
      <c r="E17" s="73" t="str">
        <f>IF(Raw_AUM!C13&gt;0,"Inflow","Outflow")</f>
        <v>Inflow</v>
      </c>
      <c r="F17" s="72">
        <f>SUM(D$6:D17)</f>
        <v>392</v>
      </c>
      <c r="G17" s="74">
        <f>Raw_AUM!D13/100</f>
        <v>-3.3399999999999999E-2</v>
      </c>
      <c r="H17" s="75">
        <f>Raw_AUM!E13</f>
        <v>2968.3</v>
      </c>
      <c r="J17" s="83" t="s">
        <v>51</v>
      </c>
      <c r="K17" s="85">
        <f>H17</f>
        <v>2968.3</v>
      </c>
    </row>
    <row r="18" spans="2:11" ht="22" customHeight="1" thickBot="1" x14ac:dyDescent="0.4">
      <c r="B18" s="41" t="s">
        <v>83</v>
      </c>
      <c r="C18" s="76"/>
      <c r="D18" s="77">
        <f>SUM(D6:D17)</f>
        <v>392</v>
      </c>
      <c r="E18" s="76"/>
      <c r="F18" s="77">
        <f>F17</f>
        <v>392</v>
      </c>
      <c r="G18" s="76"/>
      <c r="H18" s="78">
        <f>H17</f>
        <v>2968.3</v>
      </c>
    </row>
  </sheetData>
  <conditionalFormatting sqref="D6:D17">
    <cfRule type="cellIs" dxfId="3" priority="1" operator="greaterThan">
      <formula>0</formula>
    </cfRule>
  </conditionalFormatting>
  <conditionalFormatting sqref="D6:D17">
    <cfRule type="cellIs" dxfId="2" priority="2" operator="lessThan">
      <formula>0</formula>
    </cfRule>
  </conditionalFormatting>
  <conditionalFormatting sqref="E6:E17">
    <cfRule type="containsText" dxfId="1" priority="3" operator="containsText" text="Inflow">
      <formula>NOT(ISERROR(SEARCH("Inflow",E6)))</formula>
    </cfRule>
  </conditionalFormatting>
  <conditionalFormatting sqref="E6:E17">
    <cfRule type="containsText" dxfId="0" priority="4" operator="containsText" text="Outflow">
      <formula>NOT(ISERROR(SEARCH("Outflow",E6)))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Raw_Returns</vt:lpstr>
      <vt:lpstr>Raw_Weights</vt:lpstr>
      <vt:lpstr>Raw_AUM</vt:lpstr>
      <vt:lpstr>Summary</vt:lpstr>
      <vt:lpstr>Sector Attribution</vt:lpstr>
      <vt:lpstr>Monthly Detail</vt:lpstr>
      <vt:lpstr>AUM &amp;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Vohra</dc:creator>
  <cp:lastModifiedBy>Akhil Vohra</cp:lastModifiedBy>
  <dcterms:created xsi:type="dcterms:W3CDTF">2026-03-08T21:19:43Z</dcterms:created>
  <dcterms:modified xsi:type="dcterms:W3CDTF">2026-03-08T22:05:03Z</dcterms:modified>
</cp:coreProperties>
</file>