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ctor Attribution" sheetId="2" state="visible" r:id="rId2"/>
    <sheet name="Monthly Detail" sheetId="3" state="visible" r:id="rId3"/>
    <sheet name="AUM &amp; Fl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"/>
    <numFmt numFmtId="166" formatCode="#,##0.0"/>
    <numFmt numFmtId="167" formatCode="+#,##0.0;-#,##0.0"/>
  </numFmts>
  <fonts count="13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666666"/>
      <sz val="10"/>
    </font>
    <font>
      <name val="Calibri"/>
      <b val="1"/>
      <color rgb="001A1A2E"/>
      <sz val="11"/>
    </font>
    <font>
      <name val="Calibri"/>
      <b val="1"/>
      <color rgb="00333333"/>
      <sz val="10"/>
    </font>
    <font>
      <name val="Calibri"/>
      <b val="1"/>
      <color rgb="00000000"/>
      <sz val="11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b val="1"/>
      <color rgb="0000875A"/>
      <sz val="10"/>
    </font>
    <font>
      <name val="Calibri"/>
      <b val="1"/>
      <color rgb="00D32F2F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A1A2E"/>
        <bgColor rgb="001A1A2E"/>
      </patternFill>
    </fill>
    <fill>
      <patternFill patternType="solid">
        <fgColor rgb="00E8E8E8"/>
        <bgColor rgb="00E8E8E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10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0" fontId="7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0" fontId="6" fillId="3" borderId="0" pivotButton="0" quotePrefix="0" xfId="0"/>
    <xf numFmtId="10" fontId="0" fillId="0" borderId="0" pivotButton="0" quotePrefix="0" xfId="0"/>
    <xf numFmtId="164" fontId="7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10" fillId="4" borderId="1" pivotButton="0" quotePrefix="0" xfId="0"/>
    <xf numFmtId="0" fontId="0" fillId="4" borderId="1" pivotButton="0" quotePrefix="0" xfId="0"/>
    <xf numFmtId="10" fontId="11" fillId="4" borderId="1" applyAlignment="1" pivotButton="0" quotePrefix="0" xfId="0">
      <alignment horizontal="right" vertical="center"/>
    </xf>
    <xf numFmtId="0" fontId="6" fillId="3" borderId="1" pivotButton="0" quotePrefix="0" xfId="0"/>
    <xf numFmtId="0" fontId="12" fillId="3" borderId="1" applyAlignment="1" pivotButton="0" quotePrefix="0" xfId="0">
      <alignment horizontal="center" vertical="center"/>
    </xf>
    <xf numFmtId="0" fontId="7" fillId="0" borderId="1" pivotButton="0" quotePrefix="0" xfId="0"/>
    <xf numFmtId="10" fontId="8" fillId="5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Returns: Fund vs Benchmark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'Summary'!C36</f>
            </strRef>
          </tx>
          <spPr>
            <a:ln>
              <a:solidFill>
                <a:srgbClr val="1A1A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'Summary'!$B$37:$B$48</f>
            </numRef>
          </cat>
          <val>
            <numRef>
              <f>'Summary'!$C$37:$C$48</f>
            </numRef>
          </val>
        </ser>
        <ser>
          <idx val="1"/>
          <order val="1"/>
          <tx>
            <strRef>
              <f>'Summary'!D36</f>
            </strRef>
          </tx>
          <spPr>
            <a:ln>
              <a:solidFill>
                <a:srgbClr val="99999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'Summary'!$B$37:$B$48</f>
            </numRef>
          </cat>
          <val>
            <numRef>
              <f>'Summary'!$D$37:$D$48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Return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Sector Total Attribution Effect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 Attribution'!I5</f>
            </strRef>
          </tx>
          <spPr>
            <a:solidFill>
              <a:srgbClr val="1A1A2E"/>
            </a:solidFill>
            <a:ln>
              <a:prstDash val="solid"/>
            </a:ln>
          </spPr>
          <cat>
            <numRef>
              <f>'Sector Attribution'!$B$6:$B$16</f>
            </numRef>
          </cat>
          <val>
            <numRef>
              <f>'Sector Attribution'!$I$6:$I$16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Contribution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AUM Trend ($M)</a:t>
            </a:r>
          </a:p>
        </rich>
      </tx>
    </title>
    <plotArea>
      <lineChart>
        <grouping val="standard"/>
        <ser>
          <idx val="0"/>
          <order val="0"/>
          <tx>
            <strRef>
              <f>'AUM &amp; Flows'!F5</f>
            </strRef>
          </tx>
          <spPr>
            <a:ln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'AUM &amp; Flows'!$B$6:$B$17</f>
            </numRef>
          </cat>
          <val>
            <numRef>
              <f>'AUM &amp; Flows'!$F$6:$F$17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AUM ($M)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B2:E48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BlackRock Systematic Global Equity Fund</t>
        </is>
      </c>
    </row>
    <row r="3">
      <c r="B3" s="2" t="inlineStr">
        <is>
          <t>Performance Report | Jul 2025 - Jun 2026</t>
        </is>
      </c>
    </row>
    <row r="4">
      <c r="B4" s="2" t="inlineStr">
        <is>
          <t>Benchmark: MSCI World Index</t>
        </is>
      </c>
    </row>
    <row r="6">
      <c r="B6" s="3" t="inlineStr">
        <is>
          <t>KEY METRICS</t>
        </is>
      </c>
    </row>
    <row r="7">
      <c r="B7" s="4" t="inlineStr">
        <is>
          <t>Cumulative Fund Return</t>
        </is>
      </c>
      <c r="C7" s="5" t="n">
        <v>0.2229</v>
      </c>
    </row>
    <row r="8">
      <c r="B8" s="4" t="inlineStr">
        <is>
          <t>Cumulative Benchmark Return</t>
        </is>
      </c>
      <c r="C8" s="5" t="n">
        <v>0.2042</v>
      </c>
    </row>
    <row r="9">
      <c r="B9" s="4" t="inlineStr">
        <is>
          <t>Cumulative Active Return</t>
        </is>
      </c>
      <c r="C9" s="5" t="n">
        <v>0.0187</v>
      </c>
    </row>
    <row r="10">
      <c r="B10" s="4" t="inlineStr">
        <is>
          <t>Annualized Fund Return</t>
        </is>
      </c>
      <c r="C10" s="5" t="n">
        <v>0.2229</v>
      </c>
    </row>
    <row r="11">
      <c r="B11" s="4" t="inlineStr">
        <is>
          <t>Annualized Volatility (Fund)</t>
        </is>
      </c>
      <c r="C11" s="5" t="n">
        <v>0.1034</v>
      </c>
    </row>
    <row r="12">
      <c r="B12" s="4" t="inlineStr">
        <is>
          <t>Tracking Error</t>
        </is>
      </c>
      <c r="C12" s="5" t="n">
        <v>0.0076</v>
      </c>
    </row>
    <row r="13">
      <c r="B13" s="4" t="inlineStr">
        <is>
          <t>Information Ratio</t>
        </is>
      </c>
      <c r="C13" s="6" t="n">
        <v>2.46</v>
      </c>
    </row>
    <row r="14">
      <c r="B14" s="4" t="inlineStr">
        <is>
          <t>Sharpe Ratio</t>
        </is>
      </c>
      <c r="C14" s="6" t="n">
        <v>1.53</v>
      </c>
    </row>
    <row r="15">
      <c r="B15" s="4" t="inlineStr">
        <is>
          <t>Max Drawdown</t>
        </is>
      </c>
      <c r="C15" s="5" t="n">
        <v>-0.019</v>
      </c>
    </row>
    <row r="16">
      <c r="B16" s="4" t="inlineStr">
        <is>
          <t>% Positive Months</t>
        </is>
      </c>
      <c r="C16" s="5" t="n">
        <v>0.583</v>
      </c>
    </row>
    <row r="19">
      <c r="B19" s="3" t="inlineStr">
        <is>
          <t>MONTHLY RETURNS</t>
        </is>
      </c>
    </row>
    <row r="20">
      <c r="B20" s="7" t="inlineStr">
        <is>
          <t>Month</t>
        </is>
      </c>
      <c r="C20" s="7" t="inlineStr">
        <is>
          <t>Fund Return</t>
        </is>
      </c>
      <c r="D20" s="7" t="inlineStr">
        <is>
          <t>Benchmark Return</t>
        </is>
      </c>
      <c r="E20" s="7" t="inlineStr">
        <is>
          <t>Active Return</t>
        </is>
      </c>
    </row>
    <row r="21">
      <c r="B21" s="8" t="inlineStr">
        <is>
          <t>Jul 2025</t>
        </is>
      </c>
      <c r="C21" s="9" t="n">
        <v>0.030604</v>
      </c>
      <c r="D21" s="9" t="n">
        <v>0.027481</v>
      </c>
      <c r="E21" s="10" t="n">
        <v>0.003123</v>
      </c>
    </row>
    <row r="22">
      <c r="B22" s="8" t="inlineStr">
        <is>
          <t>Aug 2025</t>
        </is>
      </c>
      <c r="C22" s="9" t="n">
        <v>-0.014113</v>
      </c>
      <c r="D22" s="9" t="n">
        <v>-0.014732</v>
      </c>
      <c r="E22" s="10" t="n">
        <v>0.000619</v>
      </c>
    </row>
    <row r="23">
      <c r="B23" s="8" t="inlineStr">
        <is>
          <t>Sep 2025</t>
        </is>
      </c>
      <c r="C23" s="9" t="n">
        <v>0.012834</v>
      </c>
      <c r="D23" s="9" t="n">
        <v>0.014032</v>
      </c>
      <c r="E23" s="11" t="n">
        <v>-0.001198</v>
      </c>
    </row>
    <row r="24">
      <c r="B24" s="8" t="inlineStr">
        <is>
          <t>Oct 2025</t>
        </is>
      </c>
      <c r="C24" s="9" t="n">
        <v>0.0682</v>
      </c>
      <c r="D24" s="9" t="n">
        <v>0.06709</v>
      </c>
      <c r="E24" s="10" t="n">
        <v>0.00111</v>
      </c>
    </row>
    <row r="25">
      <c r="B25" s="8" t="inlineStr">
        <is>
          <t>Nov 2025</t>
        </is>
      </c>
      <c r="C25" s="9" t="n">
        <v>-0.007962</v>
      </c>
      <c r="D25" s="9" t="n">
        <v>-0.007188</v>
      </c>
      <c r="E25" s="11" t="n">
        <v>-0.0007739999999999999</v>
      </c>
    </row>
    <row r="26">
      <c r="B26" s="8" t="inlineStr">
        <is>
          <t>Dec 2025</t>
        </is>
      </c>
      <c r="C26" s="9" t="n">
        <v>0.008526000000000001</v>
      </c>
      <c r="D26" s="9" t="n">
        <v>0.007187</v>
      </c>
      <c r="E26" s="10" t="n">
        <v>0.001339</v>
      </c>
    </row>
    <row r="27">
      <c r="B27" s="8" t="inlineStr">
        <is>
          <t>Jan 2026</t>
        </is>
      </c>
      <c r="C27" s="9" t="n">
        <v>0.070687</v>
      </c>
      <c r="D27" s="9" t="n">
        <v>0.067997</v>
      </c>
      <c r="E27" s="10" t="n">
        <v>0.00269</v>
      </c>
    </row>
    <row r="28">
      <c r="B28" s="8" t="inlineStr">
        <is>
          <t>Feb 2026</t>
        </is>
      </c>
      <c r="C28" s="9" t="n">
        <v>0.038544</v>
      </c>
      <c r="D28" s="9" t="n">
        <v>0.037162</v>
      </c>
      <c r="E28" s="10" t="n">
        <v>0.001382</v>
      </c>
    </row>
    <row r="29">
      <c r="B29" s="8" t="inlineStr">
        <is>
          <t>Mar 2026</t>
        </is>
      </c>
      <c r="C29" s="9" t="n">
        <v>-0.004167</v>
      </c>
      <c r="D29" s="9" t="n">
        <v>-0.010864</v>
      </c>
      <c r="E29" s="10" t="n">
        <v>0.006697</v>
      </c>
    </row>
    <row r="30">
      <c r="B30" s="8" t="inlineStr">
        <is>
          <t>Apr 2026</t>
        </is>
      </c>
      <c r="C30" s="9" t="n">
        <v>0.02357</v>
      </c>
      <c r="D30" s="9" t="n">
        <v>0.021981</v>
      </c>
      <c r="E30" s="10" t="n">
        <v>0.00159</v>
      </c>
    </row>
    <row r="31">
      <c r="B31" s="8" t="inlineStr">
        <is>
          <t>May 2026</t>
        </is>
      </c>
      <c r="C31" s="9" t="n">
        <v>-0.003883</v>
      </c>
      <c r="D31" s="9" t="n">
        <v>-0.004397</v>
      </c>
      <c r="E31" s="10" t="n">
        <v>0.000514</v>
      </c>
    </row>
    <row r="32">
      <c r="B32" s="8" t="inlineStr">
        <is>
          <t>Jun 2026</t>
        </is>
      </c>
      <c r="C32" s="9" t="n">
        <v>-0.015192</v>
      </c>
      <c r="D32" s="9" t="n">
        <v>-0.013884</v>
      </c>
      <c r="E32" s="11" t="n">
        <v>-0.001308</v>
      </c>
    </row>
    <row r="35">
      <c r="B35" s="3" t="inlineStr">
        <is>
          <t>CUMULATIVE PERFORMANCE</t>
        </is>
      </c>
    </row>
    <row r="36">
      <c r="B36" s="12" t="inlineStr">
        <is>
          <t>Month</t>
        </is>
      </c>
      <c r="C36" s="12" t="inlineStr">
        <is>
          <t>Fund</t>
        </is>
      </c>
      <c r="D36" s="12" t="inlineStr">
        <is>
          <t>Benchmark</t>
        </is>
      </c>
    </row>
    <row r="37">
      <c r="B37" t="inlineStr">
        <is>
          <t>Jul 2025</t>
        </is>
      </c>
      <c r="C37" s="13" t="n">
        <v>0.030604</v>
      </c>
      <c r="D37" s="13" t="n">
        <v>0.027481</v>
      </c>
    </row>
    <row r="38">
      <c r="B38" t="inlineStr">
        <is>
          <t>Aug 2025</t>
        </is>
      </c>
      <c r="C38" s="13" t="n">
        <v>0.016059085748</v>
      </c>
      <c r="D38" s="13" t="n">
        <v>0.0123441499080001</v>
      </c>
    </row>
    <row r="39">
      <c r="B39" t="inlineStr">
        <is>
          <t>Sep 2025</t>
        </is>
      </c>
      <c r="C39" s="13" t="n">
        <v>0.0290991880544899</v>
      </c>
      <c r="D39" s="13" t="n">
        <v>0.0265493630195092</v>
      </c>
    </row>
    <row r="40">
      <c r="B40" t="inlineStr">
        <is>
          <t>Oct 2025</t>
        </is>
      </c>
      <c r="C40" s="13" t="n">
        <v>0.0992837526798062</v>
      </c>
      <c r="D40" s="13" t="n">
        <v>0.0954205597844881</v>
      </c>
    </row>
    <row r="41">
      <c r="B41" t="inlineStr">
        <is>
          <t>Nov 2025</t>
        </is>
      </c>
      <c r="C41" s="13" t="n">
        <v>0.0905312554409696</v>
      </c>
      <c r="D41" s="13" t="n">
        <v>0.0875466768007573</v>
      </c>
    </row>
    <row r="42">
      <c r="B42" t="inlineStr">
        <is>
          <t>Dec 2025</t>
        </is>
      </c>
      <c r="C42" s="13" t="n">
        <v>0.09982912492485919</v>
      </c>
      <c r="D42" s="13" t="n">
        <v>0.0953628747669244</v>
      </c>
    </row>
    <row r="43">
      <c r="B43" t="inlineStr">
        <is>
          <t>Jan 2026</t>
        </is>
      </c>
      <c r="C43" s="13" t="n">
        <v>0.1775727462784226</v>
      </c>
      <c r="D43" s="13" t="n">
        <v>0.1698442641624511</v>
      </c>
    </row>
    <row r="44">
      <c r="B44" t="inlineStr">
        <is>
          <t>Feb 2026</t>
        </is>
      </c>
      <c r="C44" s="13" t="n">
        <v>0.2229611102109781</v>
      </c>
      <c r="D44" s="13" t="n">
        <v>0.2133180167072561</v>
      </c>
    </row>
    <row r="45">
      <c r="B45" t="inlineStr">
        <is>
          <t>Mar 2026</t>
        </is>
      </c>
      <c r="C45" s="13" t="n">
        <v>0.217865031264729</v>
      </c>
      <c r="D45" s="13" t="n">
        <v>0.2001365297737485</v>
      </c>
    </row>
    <row r="46">
      <c r="B46" t="inlineStr">
        <is>
          <t>Apr 2026</t>
        </is>
      </c>
      <c r="C46" s="13" t="n">
        <v>0.2465701100516388</v>
      </c>
      <c r="D46" s="13" t="n">
        <v>0.2265167308347053</v>
      </c>
    </row>
    <row r="47">
      <c r="B47" t="inlineStr">
        <is>
          <t>May 2026</t>
        </is>
      </c>
      <c r="C47" s="13" t="n">
        <v>0.2417296783143083</v>
      </c>
      <c r="D47" s="13" t="n">
        <v>0.2211237367692251</v>
      </c>
    </row>
    <row r="48">
      <c r="B48" t="inlineStr">
        <is>
          <t>Jun 2026</t>
        </is>
      </c>
      <c r="C48" s="13" t="n">
        <v>0.2228653210413573</v>
      </c>
      <c r="D48" s="13" t="n">
        <v>0.2041696548079212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875A"/>
    <outlinePr summaryBelow="1" summaryRight="1"/>
    <pageSetUpPr/>
  </sheetPr>
  <dimension ref="B2:I17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Sector Attribution Analysis</t>
        </is>
      </c>
    </row>
    <row r="3">
      <c r="B3" s="2" t="inlineStr">
        <is>
          <t>Brinson-Hood-Beebower Decomposition (Full Period Aggregate)</t>
        </is>
      </c>
    </row>
    <row r="5">
      <c r="B5" s="7" t="inlineStr">
        <is>
          <t>Sector</t>
        </is>
      </c>
      <c r="C5" s="7" t="inlineStr">
        <is>
          <t>Avg Fund Wt</t>
        </is>
      </c>
      <c r="D5" s="7" t="inlineStr">
        <is>
          <t>Avg BM Wt</t>
        </is>
      </c>
      <c r="E5" s="7" t="inlineStr">
        <is>
          <t>Active Wt</t>
        </is>
      </c>
      <c r="F5" s="7" t="inlineStr">
        <is>
          <t>Allocation</t>
        </is>
      </c>
      <c r="G5" s="7" t="inlineStr">
        <is>
          <t>Selection</t>
        </is>
      </c>
      <c r="H5" s="7" t="inlineStr">
        <is>
          <t>Interaction</t>
        </is>
      </c>
      <c r="I5" s="7" t="inlineStr">
        <is>
          <t>Total Effect</t>
        </is>
      </c>
    </row>
    <row r="6">
      <c r="B6" s="8" t="inlineStr">
        <is>
          <t>Financials</t>
        </is>
      </c>
      <c r="C6" s="14" t="n">
        <v>0.1293</v>
      </c>
      <c r="D6" s="14" t="n">
        <v>0.1526083333333333</v>
      </c>
      <c r="E6" s="15" t="n">
        <v>-0.02329166666666667</v>
      </c>
      <c r="F6" s="10" t="n">
        <v>0.000515</v>
      </c>
      <c r="G6" s="10" t="n">
        <v>0.004682</v>
      </c>
      <c r="H6" s="11" t="n">
        <v>-0.000718</v>
      </c>
      <c r="I6" s="10" t="n">
        <v>0.004478</v>
      </c>
    </row>
    <row r="7">
      <c r="B7" s="8" t="inlineStr">
        <is>
          <t>Information Technology</t>
        </is>
      </c>
      <c r="C7" s="14" t="n">
        <v>0.280075</v>
      </c>
      <c r="D7" s="14" t="n">
        <v>0.2349083333333334</v>
      </c>
      <c r="E7" s="16" t="n">
        <v>0.04518333333333333</v>
      </c>
      <c r="F7" s="11" t="n">
        <v>-0.002447</v>
      </c>
      <c r="G7" s="10" t="n">
        <v>0.004726999999999999</v>
      </c>
      <c r="H7" s="10" t="n">
        <v>0.000969</v>
      </c>
      <c r="I7" s="10" t="n">
        <v>0.003251</v>
      </c>
    </row>
    <row r="8">
      <c r="B8" s="8" t="inlineStr">
        <is>
          <t>Consumer Staples</t>
        </is>
      </c>
      <c r="C8" s="14" t="n">
        <v>0.04004166666666667</v>
      </c>
      <c r="D8" s="14" t="n">
        <v>0.066425</v>
      </c>
      <c r="E8" s="15" t="n">
        <v>-0.02636666666666667</v>
      </c>
      <c r="F8" s="10" t="n">
        <v>0.002286</v>
      </c>
      <c r="G8" s="10" t="n">
        <v>0.001302</v>
      </c>
      <c r="H8" s="11" t="n">
        <v>-0.000505</v>
      </c>
      <c r="I8" s="10" t="n">
        <v>0.003084</v>
      </c>
    </row>
    <row r="9">
      <c r="B9" s="8" t="inlineStr">
        <is>
          <t>Consumer Discretionary</t>
        </is>
      </c>
      <c r="C9" s="14" t="n">
        <v>0.1205833333333333</v>
      </c>
      <c r="D9" s="14" t="n">
        <v>0.104075</v>
      </c>
      <c r="E9" s="16" t="n">
        <v>0.01651666666666667</v>
      </c>
      <c r="F9" s="10" t="n">
        <v>0.001598</v>
      </c>
      <c r="G9" s="10" t="n">
        <v>0.000594</v>
      </c>
      <c r="H9" s="10" t="n">
        <v>8.2e-05</v>
      </c>
      <c r="I9" s="10" t="n">
        <v>0.002273</v>
      </c>
    </row>
    <row r="10">
      <c r="B10" s="8" t="inlineStr">
        <is>
          <t>Communication Services</t>
        </is>
      </c>
      <c r="C10" s="14" t="n">
        <v>0.08412500000000001</v>
      </c>
      <c r="D10" s="14" t="n">
        <v>0.076625</v>
      </c>
      <c r="E10" s="16" t="n">
        <v>0.007483333333333332</v>
      </c>
      <c r="F10" s="11" t="n">
        <v>-9.900000000000003e-05</v>
      </c>
      <c r="G10" s="10" t="n">
        <v>0.001971</v>
      </c>
      <c r="H10" s="10" t="n">
        <v>0.000136</v>
      </c>
      <c r="I10" s="10" t="n">
        <v>0.00201</v>
      </c>
    </row>
    <row r="11">
      <c r="B11" s="8" t="inlineStr">
        <is>
          <t>Health Care</t>
        </is>
      </c>
      <c r="C11" s="14" t="n">
        <v>0.1447333333333333</v>
      </c>
      <c r="D11" s="14" t="n">
        <v>0.1252583333333333</v>
      </c>
      <c r="E11" s="16" t="n">
        <v>0.01949166666666667</v>
      </c>
      <c r="F11" s="11" t="n">
        <v>-0.000363</v>
      </c>
      <c r="G11" s="10" t="n">
        <v>0.0009959999999999999</v>
      </c>
      <c r="H11" s="10" t="n">
        <v>0.000198</v>
      </c>
      <c r="I11" s="10" t="n">
        <v>0.000833</v>
      </c>
    </row>
    <row r="12">
      <c r="B12" s="8" t="inlineStr">
        <is>
          <t>Real Estate</t>
        </is>
      </c>
      <c r="C12" s="14" t="n">
        <v>0.01663333333333333</v>
      </c>
      <c r="D12" s="14" t="n">
        <v>0.02025</v>
      </c>
      <c r="E12" s="15" t="n">
        <v>-0.003616666666666667</v>
      </c>
      <c r="F12" s="10" t="n">
        <v>0.000212</v>
      </c>
      <c r="G12" s="10" t="n">
        <v>0.000252</v>
      </c>
      <c r="H12" s="10" t="n">
        <v>4.000000000000002e-06</v>
      </c>
      <c r="I12" s="10" t="n">
        <v>0.000467</v>
      </c>
    </row>
    <row r="13">
      <c r="B13" s="8" t="inlineStr">
        <is>
          <t>Energy</t>
        </is>
      </c>
      <c r="C13" s="14" t="n">
        <v>0.02990833333333333</v>
      </c>
      <c r="D13" s="14" t="n">
        <v>0.04535833333333333</v>
      </c>
      <c r="E13" s="15" t="n">
        <v>-0.015425</v>
      </c>
      <c r="F13" s="11" t="n">
        <v>-0.000852</v>
      </c>
      <c r="G13" s="10" t="n">
        <v>0.001399</v>
      </c>
      <c r="H13" s="11" t="n">
        <v>-0.000507</v>
      </c>
      <c r="I13" s="10" t="n">
        <v>4.199999999999998e-05</v>
      </c>
    </row>
    <row r="14">
      <c r="B14" s="8" t="inlineStr">
        <is>
          <t>Utilities</t>
        </is>
      </c>
      <c r="C14" s="14" t="n">
        <v>0.020475</v>
      </c>
      <c r="D14" s="14" t="n">
        <v>0.02494166666666667</v>
      </c>
      <c r="E14" s="15" t="n">
        <v>-0.004475</v>
      </c>
      <c r="F14" s="11" t="n">
        <v>-0.0001520000000000001</v>
      </c>
      <c r="G14" s="10" t="n">
        <v>0.000161</v>
      </c>
      <c r="H14" s="11" t="n">
        <v>-2.4e-05</v>
      </c>
      <c r="I14" s="11" t="n">
        <v>-1.499999999999999e-05</v>
      </c>
    </row>
    <row r="15">
      <c r="B15" s="8" t="inlineStr">
        <is>
          <t>Materials</t>
        </is>
      </c>
      <c r="C15" s="14" t="n">
        <v>0.034275</v>
      </c>
      <c r="D15" s="14" t="n">
        <v>0.03953333333333333</v>
      </c>
      <c r="E15" s="15" t="n">
        <v>-0.005266666666666667</v>
      </c>
      <c r="F15" s="11" t="n">
        <v>-0.000797</v>
      </c>
      <c r="G15" s="10" t="n">
        <v>0.000594</v>
      </c>
      <c r="H15" s="11" t="n">
        <v>-8.8e-05</v>
      </c>
      <c r="I15" s="11" t="n">
        <v>-0.0002920000000000001</v>
      </c>
    </row>
    <row r="16">
      <c r="B16" s="8" t="inlineStr">
        <is>
          <t>Industrials</t>
        </is>
      </c>
      <c r="C16" s="14" t="n">
        <v>0.09983333333333333</v>
      </c>
      <c r="D16" s="14" t="n">
        <v>0.1100666666666667</v>
      </c>
      <c r="E16" s="15" t="n">
        <v>-0.01023333333333333</v>
      </c>
      <c r="F16" s="11" t="n">
        <v>-0.001334</v>
      </c>
      <c r="G16" s="10" t="n">
        <v>0.00116</v>
      </c>
      <c r="H16" s="11" t="n">
        <v>-0.000179</v>
      </c>
      <c r="I16" s="11" t="n">
        <v>-0.0003560000000000001</v>
      </c>
    </row>
    <row r="17">
      <c r="B17" s="17" t="inlineStr">
        <is>
          <t>TOTAL</t>
        </is>
      </c>
      <c r="C17" s="18" t="n"/>
      <c r="D17" s="18" t="n"/>
      <c r="E17" s="18" t="n"/>
      <c r="F17" s="19" t="n">
        <v>-0.001433</v>
      </c>
      <c r="G17" s="19" t="n">
        <v>0.017838</v>
      </c>
      <c r="H17" s="19" t="n">
        <v>-0.000632</v>
      </c>
      <c r="I17" s="19" t="n">
        <v>0.015775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8F00"/>
    <outlinePr summaryBelow="1" summaryRight="1"/>
    <pageSetUpPr/>
  </sheetPr>
  <dimension ref="B2:M17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1" t="inlineStr">
        <is>
          <t>Monthly Sector Attribution Detail</t>
        </is>
      </c>
    </row>
    <row r="3">
      <c r="B3" s="2" t="inlineStr">
        <is>
          <t>Total Effect by Sector per Month</t>
        </is>
      </c>
    </row>
    <row r="5">
      <c r="B5" s="20" t="inlineStr">
        <is>
          <t>Month</t>
        </is>
      </c>
      <c r="C5" s="21" t="inlineStr">
        <is>
          <t>Communication Services</t>
        </is>
      </c>
      <c r="D5" s="21" t="inlineStr">
        <is>
          <t>Consumer Discretionary</t>
        </is>
      </c>
      <c r="E5" s="21" t="inlineStr">
        <is>
          <t>Consumer Staples</t>
        </is>
      </c>
      <c r="F5" s="21" t="inlineStr">
        <is>
          <t>Energy</t>
        </is>
      </c>
      <c r="G5" s="21" t="inlineStr">
        <is>
          <t>Financials</t>
        </is>
      </c>
      <c r="H5" s="21" t="inlineStr">
        <is>
          <t>Health Care</t>
        </is>
      </c>
      <c r="I5" s="21" t="inlineStr">
        <is>
          <t>Industrials</t>
        </is>
      </c>
      <c r="J5" s="21" t="inlineStr">
        <is>
          <t>Information Technology</t>
        </is>
      </c>
      <c r="K5" s="21" t="inlineStr">
        <is>
          <t>Materials</t>
        </is>
      </c>
      <c r="L5" s="21" t="inlineStr">
        <is>
          <t>Real Estate</t>
        </is>
      </c>
      <c r="M5" s="21" t="inlineStr">
        <is>
          <t>Utilities</t>
        </is>
      </c>
    </row>
    <row r="6">
      <c r="B6" s="22" t="inlineStr">
        <is>
          <t>Jul 2025</t>
        </is>
      </c>
      <c r="C6" s="10" t="n">
        <v>0.000267</v>
      </c>
      <c r="D6" s="10" t="n">
        <v>0.000266</v>
      </c>
      <c r="E6" s="10" t="n">
        <v>0.000888</v>
      </c>
      <c r="F6" s="10" t="n">
        <v>4.1e-05</v>
      </c>
      <c r="G6" s="10" t="n">
        <v>0.000361</v>
      </c>
      <c r="H6" s="11" t="n">
        <v>-0.0004</v>
      </c>
      <c r="I6" s="11" t="n">
        <v>-0.00036</v>
      </c>
      <c r="J6" s="10" t="n">
        <v>0.001702</v>
      </c>
      <c r="K6" s="10" t="n">
        <v>0.000131</v>
      </c>
      <c r="L6" s="10" t="n">
        <v>0.00026</v>
      </c>
      <c r="M6" s="11" t="n">
        <v>-3.3e-05</v>
      </c>
    </row>
    <row r="7">
      <c r="B7" s="22" t="inlineStr">
        <is>
          <t>Aug 2025</t>
        </is>
      </c>
      <c r="C7" s="10" t="n">
        <v>0.000545</v>
      </c>
      <c r="D7" s="11" t="n">
        <v>-3.9e-05</v>
      </c>
      <c r="E7" s="11" t="n">
        <v>-2.9e-05</v>
      </c>
      <c r="F7" s="11" t="n">
        <v>-0.000379</v>
      </c>
      <c r="G7" s="10" t="n">
        <v>0.00104</v>
      </c>
      <c r="H7" s="10" t="n">
        <v>0.0007</v>
      </c>
      <c r="I7" s="10" t="n">
        <v>0.000237</v>
      </c>
      <c r="J7" s="11" t="n">
        <v>-0.001255</v>
      </c>
      <c r="K7" s="10" t="n">
        <v>8.1e-05</v>
      </c>
      <c r="L7" s="11" t="n">
        <v>-0.000239</v>
      </c>
      <c r="M7" s="11" t="n">
        <v>-4.4e-05</v>
      </c>
    </row>
    <row r="8">
      <c r="B8" s="22" t="inlineStr">
        <is>
          <t>Sep 2025</t>
        </is>
      </c>
      <c r="C8" s="11" t="n">
        <v>-0.000164</v>
      </c>
      <c r="D8" s="10" t="n">
        <v>2.6e-05</v>
      </c>
      <c r="E8" s="11" t="n">
        <v>-0.000693</v>
      </c>
      <c r="F8" s="11" t="n">
        <v>-0.000273</v>
      </c>
      <c r="G8" s="11" t="n">
        <v>-0.000304</v>
      </c>
      <c r="H8" s="11" t="n">
        <v>-1.8e-05</v>
      </c>
      <c r="I8" s="10" t="n">
        <v>0.00032</v>
      </c>
      <c r="J8" s="11" t="n">
        <v>-0.00011</v>
      </c>
      <c r="K8" s="10" t="n">
        <v>6.4e-05</v>
      </c>
      <c r="L8" s="10" t="n">
        <v>6.9e-05</v>
      </c>
      <c r="M8" s="11" t="n">
        <v>-0.000117</v>
      </c>
    </row>
    <row r="9">
      <c r="B9" s="22" t="inlineStr">
        <is>
          <t>Oct 2025</t>
        </is>
      </c>
      <c r="C9" s="10" t="n">
        <v>0.000188</v>
      </c>
      <c r="D9" s="10" t="n">
        <v>0.000294</v>
      </c>
      <c r="E9" s="10" t="n">
        <v>0.000554</v>
      </c>
      <c r="F9" s="10" t="n">
        <v>0.000118</v>
      </c>
      <c r="G9" s="11" t="n">
        <v>-5e-05</v>
      </c>
      <c r="H9" s="11" t="n">
        <v>-0.000559</v>
      </c>
      <c r="I9" s="10" t="n">
        <v>0.000229</v>
      </c>
      <c r="J9" s="10" t="n">
        <v>0.000282</v>
      </c>
      <c r="K9" s="10" t="n">
        <v>1.5e-05</v>
      </c>
      <c r="L9" s="10" t="n">
        <v>2.8e-05</v>
      </c>
      <c r="M9" s="10" t="n">
        <v>1.2e-05</v>
      </c>
    </row>
    <row r="10">
      <c r="B10" s="22" t="inlineStr">
        <is>
          <t>Nov 2025</t>
        </is>
      </c>
      <c r="C10" s="11" t="n">
        <v>-3.8e-05</v>
      </c>
      <c r="D10" s="11" t="n">
        <v>-0.000702</v>
      </c>
      <c r="E10" s="10" t="n">
        <v>0.00016</v>
      </c>
      <c r="F10" s="10" t="n">
        <v>0.000389</v>
      </c>
      <c r="G10" s="11" t="n">
        <v>-0.000255</v>
      </c>
      <c r="H10" s="11" t="n">
        <v>-9.7e-05</v>
      </c>
      <c r="I10" s="11" t="n">
        <v>-0.000265</v>
      </c>
      <c r="J10" s="11" t="n">
        <v>-0.000129</v>
      </c>
      <c r="K10" s="11" t="n">
        <v>-4.8e-05</v>
      </c>
      <c r="L10" s="10" t="n">
        <v>0.000107</v>
      </c>
      <c r="M10" s="10" t="n">
        <v>0.000103</v>
      </c>
    </row>
    <row r="11">
      <c r="B11" s="22" t="inlineStr">
        <is>
          <t>Dec 2025</t>
        </is>
      </c>
      <c r="C11" s="10" t="n">
        <v>0.000477</v>
      </c>
      <c r="D11" s="10" t="n">
        <v>0.000206</v>
      </c>
      <c r="E11" s="10" t="n">
        <v>6e-06</v>
      </c>
      <c r="F11" s="10" t="n">
        <v>0.000331</v>
      </c>
      <c r="G11" s="10" t="n">
        <v>0.000385</v>
      </c>
      <c r="H11" s="11" t="n">
        <v>-0.000195</v>
      </c>
      <c r="I11" s="10" t="n">
        <v>7.9e-05</v>
      </c>
      <c r="J11" s="10" t="n">
        <v>0.001095</v>
      </c>
      <c r="K11" s="11" t="n">
        <v>-0.000637</v>
      </c>
      <c r="L11" s="11" t="n">
        <v>-8e-06</v>
      </c>
      <c r="M11" s="11" t="n">
        <v>-0.000401</v>
      </c>
    </row>
    <row r="12">
      <c r="B12" s="22" t="inlineStr">
        <is>
          <t>Jan 2026</t>
        </is>
      </c>
      <c r="C12" s="10" t="n">
        <v>0.00019</v>
      </c>
      <c r="D12" s="10" t="n">
        <v>0.0006310000000000001</v>
      </c>
      <c r="E12" s="10" t="n">
        <v>0.000678</v>
      </c>
      <c r="F12" s="10" t="n">
        <v>0.000192</v>
      </c>
      <c r="G12" s="11" t="n">
        <v>-0.000194</v>
      </c>
      <c r="H12" s="11" t="n">
        <v>-0.000305</v>
      </c>
      <c r="I12" s="10" t="n">
        <v>0.001001</v>
      </c>
      <c r="J12" s="10" t="n">
        <v>0.000135</v>
      </c>
      <c r="K12" s="11" t="n">
        <v>-8.1e-05</v>
      </c>
      <c r="L12" s="10" t="n">
        <v>5.3e-05</v>
      </c>
      <c r="M12" s="10" t="n">
        <v>0.00039</v>
      </c>
    </row>
    <row r="13">
      <c r="B13" s="22" t="inlineStr">
        <is>
          <t>Feb 2026</t>
        </is>
      </c>
      <c r="C13" s="11" t="n">
        <v>-0.000243</v>
      </c>
      <c r="D13" s="10" t="n">
        <v>0.000825</v>
      </c>
      <c r="E13" s="11" t="n">
        <v>-2.4e-05</v>
      </c>
      <c r="F13" s="10" t="n">
        <v>0.000369</v>
      </c>
      <c r="G13" s="10" t="n">
        <v>0.000467</v>
      </c>
      <c r="H13" s="10" t="n">
        <v>0.001341</v>
      </c>
      <c r="I13" s="11" t="n">
        <v>-0.000788</v>
      </c>
      <c r="J13" s="11" t="n">
        <v>-0.000947</v>
      </c>
      <c r="K13" s="10" t="n">
        <v>2.3e-05</v>
      </c>
      <c r="L13" s="10" t="n">
        <v>0.000181</v>
      </c>
      <c r="M13" s="10" t="n">
        <v>0.000179</v>
      </c>
    </row>
    <row r="14">
      <c r="B14" s="22" t="inlineStr">
        <is>
          <t>Mar 2026</t>
        </is>
      </c>
      <c r="C14" s="10" t="n">
        <v>0.00029</v>
      </c>
      <c r="D14" s="11" t="n">
        <v>-0.000395</v>
      </c>
      <c r="E14" s="10" t="n">
        <v>0.000295</v>
      </c>
      <c r="F14" s="10" t="n">
        <v>4.8e-05</v>
      </c>
      <c r="G14" s="10" t="n">
        <v>0.00185</v>
      </c>
      <c r="H14" s="10" t="n">
        <v>0.000669</v>
      </c>
      <c r="I14" s="11" t="n">
        <v>-3.2e-05</v>
      </c>
      <c r="J14" s="23" t="n">
        <v>0.003823</v>
      </c>
      <c r="K14" s="10" t="n">
        <v>0.000179</v>
      </c>
      <c r="L14" s="11" t="n">
        <v>-2.4e-05</v>
      </c>
      <c r="M14" s="11" t="n">
        <v>-8e-06</v>
      </c>
    </row>
    <row r="15">
      <c r="B15" s="22" t="inlineStr">
        <is>
          <t>Apr 2026</t>
        </is>
      </c>
      <c r="C15" s="10" t="n">
        <v>0.000632</v>
      </c>
      <c r="D15" s="10" t="n">
        <v>0.000313</v>
      </c>
      <c r="E15" s="10" t="n">
        <v>0.000226</v>
      </c>
      <c r="F15" s="10" t="n">
        <v>2.6e-05</v>
      </c>
      <c r="G15" s="10" t="n">
        <v>0.000433</v>
      </c>
      <c r="H15" s="11" t="n">
        <v>-8.899999999999999e-05</v>
      </c>
      <c r="I15" s="10" t="n">
        <v>0.000161</v>
      </c>
      <c r="J15" s="11" t="n">
        <v>-0.000417</v>
      </c>
      <c r="K15" s="10" t="n">
        <v>0.00025</v>
      </c>
      <c r="L15" s="11" t="n">
        <v>-6.9e-05</v>
      </c>
      <c r="M15" s="10" t="n">
        <v>0.000123</v>
      </c>
    </row>
    <row r="16">
      <c r="B16" s="22" t="inlineStr">
        <is>
          <t>May 2026</t>
        </is>
      </c>
      <c r="C16" s="11" t="n">
        <v>-4.5e-05</v>
      </c>
      <c r="D16" s="10" t="n">
        <v>0.00049</v>
      </c>
      <c r="E16" s="10" t="n">
        <v>0.000382</v>
      </c>
      <c r="F16" s="11" t="n">
        <v>-0.0007560000000000001</v>
      </c>
      <c r="G16" s="10" t="n">
        <v>0.000878</v>
      </c>
      <c r="H16" s="11" t="n">
        <v>-0.000407</v>
      </c>
      <c r="I16" s="10" t="n">
        <v>0.000242</v>
      </c>
      <c r="J16" s="11" t="n">
        <v>-0.000148</v>
      </c>
      <c r="K16" s="11" t="n">
        <v>-6.8e-05</v>
      </c>
      <c r="L16" s="10" t="n">
        <v>0.000104</v>
      </c>
      <c r="M16" s="11" t="n">
        <v>-0.00016</v>
      </c>
    </row>
    <row r="17">
      <c r="B17" s="22" t="inlineStr">
        <is>
          <t>Jun 2026</t>
        </is>
      </c>
      <c r="C17" s="11" t="n">
        <v>-8.899999999999999e-05</v>
      </c>
      <c r="D17" s="10" t="n">
        <v>0.000358</v>
      </c>
      <c r="E17" s="10" t="n">
        <v>0.000641</v>
      </c>
      <c r="F17" s="11" t="n">
        <v>-6.4e-05</v>
      </c>
      <c r="G17" s="11" t="n">
        <v>-0.000133</v>
      </c>
      <c r="H17" s="10" t="n">
        <v>0.000193</v>
      </c>
      <c r="I17" s="11" t="n">
        <v>-0.00118</v>
      </c>
      <c r="J17" s="11" t="n">
        <v>-0.00078</v>
      </c>
      <c r="K17" s="11" t="n">
        <v>-0.000201</v>
      </c>
      <c r="L17" s="10" t="n">
        <v>5e-06</v>
      </c>
      <c r="M17" s="11" t="n">
        <v>-5.9e-05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BlackRock Systematic Global Equity Fund</t>
        </is>
      </c>
    </row>
    <row r="3">
      <c r="B3" s="2" t="inlineStr">
        <is>
          <t>Assets Under Management &amp; Net Flows ($M)</t>
        </is>
      </c>
    </row>
    <row r="5">
      <c r="B5" s="7" t="inlineStr">
        <is>
          <t>Month</t>
        </is>
      </c>
      <c r="C5" s="7" t="inlineStr">
        <is>
          <t>AUM Start</t>
        </is>
      </c>
      <c r="D5" s="7" t="inlineStr">
        <is>
          <t>Net Flows</t>
        </is>
      </c>
      <c r="E5" s="7" t="inlineStr">
        <is>
          <t>Market Return</t>
        </is>
      </c>
      <c r="F5" s="7" t="inlineStr">
        <is>
          <t>AUM End</t>
        </is>
      </c>
    </row>
    <row r="6">
      <c r="B6" s="22" t="inlineStr">
        <is>
          <t>Jul 2025</t>
        </is>
      </c>
      <c r="C6" s="24" t="n">
        <v>2450</v>
      </c>
      <c r="D6" s="25" t="n">
        <v>52.4</v>
      </c>
      <c r="E6" s="9" t="n">
        <v>0.0293</v>
      </c>
      <c r="F6" s="24" t="n">
        <v>2574.3</v>
      </c>
    </row>
    <row r="7">
      <c r="B7" s="22" t="inlineStr">
        <is>
          <t>Aug 2025</t>
        </is>
      </c>
      <c r="C7" s="24" t="n">
        <v>2574.3</v>
      </c>
      <c r="D7" s="25" t="n">
        <v>35.1</v>
      </c>
      <c r="E7" s="9" t="n">
        <v>-0.0257</v>
      </c>
      <c r="F7" s="24" t="n">
        <v>2543.1</v>
      </c>
    </row>
    <row r="8">
      <c r="B8" s="22" t="inlineStr">
        <is>
          <t>Sep 2025</t>
        </is>
      </c>
      <c r="C8" s="24" t="n">
        <v>2543.1</v>
      </c>
      <c r="D8" s="26" t="n">
        <v>-16.5</v>
      </c>
      <c r="E8" s="9" t="n">
        <v>0.0545</v>
      </c>
      <c r="F8" s="24" t="n">
        <v>2665.3</v>
      </c>
    </row>
    <row r="9">
      <c r="B9" s="22" t="inlineStr">
        <is>
          <t>Oct 2025</t>
        </is>
      </c>
      <c r="C9" s="24" t="n">
        <v>2665.3</v>
      </c>
      <c r="D9" s="25" t="n">
        <v>69.7</v>
      </c>
      <c r="E9" s="9" t="n">
        <v>0.0115</v>
      </c>
      <c r="F9" s="24" t="n">
        <v>2765.6</v>
      </c>
    </row>
    <row r="10">
      <c r="B10" s="22" t="inlineStr">
        <is>
          <t>Nov 2025</t>
        </is>
      </c>
      <c r="C10" s="24" t="n">
        <v>2765.6</v>
      </c>
      <c r="D10" s="25" t="n">
        <v>49.3</v>
      </c>
      <c r="E10" s="9" t="n">
        <v>0.0005</v>
      </c>
      <c r="F10" s="24" t="n">
        <v>2816.3</v>
      </c>
    </row>
    <row r="11">
      <c r="B11" s="22" t="inlineStr">
        <is>
          <t>Dec 2025</t>
        </is>
      </c>
      <c r="C11" s="24" t="n">
        <v>2816.3</v>
      </c>
      <c r="D11" s="26" t="n">
        <v>-39</v>
      </c>
      <c r="E11" s="9" t="n">
        <v>0.0371</v>
      </c>
      <c r="F11" s="24" t="n">
        <v>2881.9</v>
      </c>
    </row>
    <row r="12">
      <c r="B12" s="22" t="inlineStr">
        <is>
          <t>Jan 2026</t>
        </is>
      </c>
      <c r="C12" s="24" t="n">
        <v>2881.9</v>
      </c>
      <c r="D12" s="25" t="n">
        <v>53.4</v>
      </c>
      <c r="E12" s="9" t="n">
        <v>-0.0209</v>
      </c>
      <c r="F12" s="24" t="n">
        <v>2875</v>
      </c>
    </row>
    <row r="13">
      <c r="B13" s="22" t="inlineStr">
        <is>
          <t>Feb 2026</t>
        </is>
      </c>
      <c r="C13" s="24" t="n">
        <v>2875</v>
      </c>
      <c r="D13" s="26" t="n">
        <v>-39.5</v>
      </c>
      <c r="E13" s="9" t="n">
        <v>0.0286</v>
      </c>
      <c r="F13" s="24" t="n">
        <v>2917.7</v>
      </c>
    </row>
    <row r="14">
      <c r="B14" s="22" t="inlineStr">
        <is>
          <t>Mar 2026</t>
        </is>
      </c>
      <c r="C14" s="24" t="n">
        <v>2917.7</v>
      </c>
      <c r="D14" s="25" t="n">
        <v>51.3</v>
      </c>
      <c r="E14" s="9" t="n">
        <v>-0.0275</v>
      </c>
      <c r="F14" s="24" t="n">
        <v>2888.7</v>
      </c>
    </row>
    <row r="15">
      <c r="B15" s="22" t="inlineStr">
        <is>
          <t>Apr 2026</t>
        </is>
      </c>
      <c r="C15" s="24" t="n">
        <v>2888.7</v>
      </c>
      <c r="D15" s="25" t="n">
        <v>34.4</v>
      </c>
      <c r="E15" s="9" t="n">
        <v>-0.0532</v>
      </c>
      <c r="F15" s="24" t="n">
        <v>2769.5</v>
      </c>
    </row>
    <row r="16">
      <c r="B16" s="22" t="inlineStr">
        <is>
          <t>May 2026</t>
        </is>
      </c>
      <c r="C16" s="24" t="n">
        <v>2769.5</v>
      </c>
      <c r="D16" s="25" t="n">
        <v>64.90000000000001</v>
      </c>
      <c r="E16" s="9" t="n">
        <v>0.05690000000000001</v>
      </c>
      <c r="F16" s="24" t="n">
        <v>2991.8</v>
      </c>
    </row>
    <row r="17">
      <c r="B17" s="22" t="inlineStr">
        <is>
          <t>Jun 2026</t>
        </is>
      </c>
      <c r="C17" s="24" t="n">
        <v>2991.8</v>
      </c>
      <c r="D17" s="25" t="n">
        <v>76.5</v>
      </c>
      <c r="E17" s="9" t="n">
        <v>-0.0334</v>
      </c>
      <c r="F17" s="24" t="n">
        <v>2968.3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2026-03-08T22:49:46Z</dcterms:created>
  <dcterms:modified xsi:type="dcterms:W3CDTF">2026-03-08T22:49:46Z</dcterms:modified>
</cp:coreProperties>
</file>